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rr\OneDrive\Документы\Projects\UAE-commercial-proposal-generator\"/>
    </mc:Choice>
  </mc:AlternateContent>
  <xr:revisionPtr revIDLastSave="0" documentId="8_{86013203-FD06-4CE2-9D90-0B5AB968E636}" xr6:coauthVersionLast="47" xr6:coauthVersionMax="47" xr10:uidLastSave="{00000000-0000-0000-0000-000000000000}"/>
  <bookViews>
    <workbookView xWindow="-108" yWindow="-108" windowWidth="23256" windowHeight="12456" tabRatio="780" firstSheet="1" activeTab="1" xr2:uid="{00000000-000D-0000-FFFF-FFFF00000000}"/>
  </bookViews>
  <sheets>
    <sheet name="7-10 DEC Atlantis The Royal  " sheetId="1" state="hidden" r:id="rId1"/>
    <sheet name="Yas Palza Hotels " sheetId="76" r:id="rId2"/>
    <sheet name="Conrad Etihad Towers AUH" sheetId="70" r:id="rId3"/>
    <sheet name="Marriott Palm Island " sheetId="73" r:id="rId4"/>
    <sheet name="Atlantis Palm Island " sheetId="7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76" l="1"/>
  <c r="F46" i="76"/>
  <c r="F45" i="76"/>
  <c r="F44" i="76"/>
  <c r="F44" i="70"/>
  <c r="F42" i="73"/>
  <c r="F41" i="73"/>
  <c r="F40" i="73"/>
  <c r="F42" i="74"/>
  <c r="F41" i="74"/>
  <c r="F40" i="74"/>
  <c r="F39" i="74"/>
  <c r="F38" i="74"/>
  <c r="F37" i="74"/>
  <c r="F36" i="74"/>
  <c r="F35" i="74"/>
  <c r="F34" i="74"/>
  <c r="F33" i="73"/>
  <c r="F34" i="73"/>
  <c r="F39" i="73"/>
  <c r="F38" i="73"/>
  <c r="F37" i="73"/>
  <c r="F47" i="70"/>
  <c r="F46" i="70"/>
  <c r="F45" i="70"/>
  <c r="F43" i="70"/>
  <c r="F42" i="70"/>
  <c r="F41" i="70"/>
  <c r="F40" i="70"/>
  <c r="F39" i="70"/>
  <c r="F38" i="70"/>
  <c r="F37" i="70"/>
  <c r="F36" i="70"/>
  <c r="F35" i="70"/>
  <c r="F34" i="70"/>
  <c r="F36" i="76"/>
  <c r="F39" i="76"/>
  <c r="F38" i="76"/>
  <c r="F37" i="76"/>
  <c r="F43" i="76"/>
  <c r="F42" i="76"/>
  <c r="F41" i="76"/>
  <c r="F40" i="76"/>
  <c r="F35" i="76"/>
  <c r="F34" i="76"/>
  <c r="F33" i="74"/>
  <c r="F32" i="74"/>
  <c r="F35" i="73"/>
  <c r="F36" i="73"/>
  <c r="F83" i="76" l="1"/>
  <c r="F82" i="76"/>
  <c r="F81" i="76"/>
  <c r="F80" i="76"/>
  <c r="F79" i="76"/>
  <c r="F78" i="76"/>
  <c r="F77" i="76"/>
  <c r="F76" i="76"/>
  <c r="F75" i="76"/>
  <c r="F73" i="76"/>
  <c r="F72" i="76"/>
  <c r="F71" i="76"/>
  <c r="F70" i="76"/>
  <c r="F69" i="76"/>
  <c r="F68" i="76"/>
  <c r="F67" i="76"/>
  <c r="F66" i="76"/>
  <c r="F65" i="76"/>
  <c r="F64" i="76"/>
  <c r="F63" i="76"/>
  <c r="F62" i="76"/>
  <c r="F61" i="76"/>
  <c r="F60" i="76"/>
  <c r="F59" i="76"/>
  <c r="F58" i="76"/>
  <c r="F57" i="76"/>
  <c r="F56" i="76"/>
  <c r="F55" i="76"/>
  <c r="F54" i="76"/>
  <c r="F53" i="76"/>
  <c r="F51" i="76"/>
  <c r="F50" i="76"/>
  <c r="F49" i="76"/>
  <c r="F48" i="76"/>
  <c r="F33" i="76"/>
  <c r="F32" i="76"/>
  <c r="F31" i="76"/>
  <c r="F29" i="76"/>
  <c r="F28" i="76"/>
  <c r="F27" i="76"/>
  <c r="F26" i="76"/>
  <c r="F25" i="76"/>
  <c r="F24" i="76"/>
  <c r="F23" i="76"/>
  <c r="F22" i="76"/>
  <c r="F21" i="76"/>
  <c r="F20" i="76"/>
  <c r="F19" i="76"/>
  <c r="F18" i="76"/>
  <c r="F17" i="76"/>
  <c r="F16" i="76"/>
  <c r="F15" i="76"/>
  <c r="F13" i="76"/>
  <c r="F12" i="76"/>
  <c r="F83" i="70"/>
  <c r="F82" i="70"/>
  <c r="F81" i="70"/>
  <c r="F80" i="70"/>
  <c r="F79" i="70"/>
  <c r="F78" i="70"/>
  <c r="F77" i="70"/>
  <c r="F76" i="70"/>
  <c r="F75" i="70"/>
  <c r="F73" i="70"/>
  <c r="F72" i="70"/>
  <c r="F71" i="70"/>
  <c r="F70" i="70"/>
  <c r="F68" i="70"/>
  <c r="F67" i="70"/>
  <c r="F66" i="70"/>
  <c r="F65" i="70"/>
  <c r="F64" i="70"/>
  <c r="F63" i="70"/>
  <c r="F62" i="70"/>
  <c r="F61" i="70"/>
  <c r="F60" i="70"/>
  <c r="F58" i="70"/>
  <c r="F57" i="70"/>
  <c r="F55" i="70"/>
  <c r="F54" i="70"/>
  <c r="F53" i="70"/>
  <c r="F51" i="70"/>
  <c r="F50" i="70"/>
  <c r="F29" i="70"/>
  <c r="F28" i="70"/>
  <c r="F27" i="70"/>
  <c r="F26" i="70"/>
  <c r="F25" i="70"/>
  <c r="F24" i="70"/>
  <c r="F23" i="70"/>
  <c r="F22" i="70"/>
  <c r="F21" i="70"/>
  <c r="F20" i="70"/>
  <c r="F19" i="70"/>
  <c r="F18" i="70"/>
  <c r="F91" i="74"/>
  <c r="F90" i="74"/>
  <c r="F89" i="74"/>
  <c r="F88" i="74"/>
  <c r="F87" i="74"/>
  <c r="F86" i="74"/>
  <c r="F85" i="74"/>
  <c r="F84" i="74"/>
  <c r="F83" i="74"/>
  <c r="F81" i="74"/>
  <c r="F80" i="74"/>
  <c r="F79" i="74"/>
  <c r="F78" i="74"/>
  <c r="F77" i="74"/>
  <c r="F76" i="74"/>
  <c r="F75" i="74"/>
  <c r="F74" i="74"/>
  <c r="F73" i="74"/>
  <c r="F71" i="74"/>
  <c r="F70" i="74"/>
  <c r="F69" i="74"/>
  <c r="F68" i="74"/>
  <c r="F67" i="74"/>
  <c r="F66" i="74"/>
  <c r="F65" i="74"/>
  <c r="F64" i="74"/>
  <c r="F63" i="74"/>
  <c r="F62" i="74"/>
  <c r="F61" i="74"/>
  <c r="F60" i="74"/>
  <c r="F59" i="74"/>
  <c r="F58" i="74"/>
  <c r="F57" i="74"/>
  <c r="F56" i="74"/>
  <c r="F55" i="74"/>
  <c r="F54" i="74"/>
  <c r="F53" i="74"/>
  <c r="F52" i="74"/>
  <c r="F51" i="74"/>
  <c r="F50" i="74"/>
  <c r="F49" i="74"/>
  <c r="F48" i="74"/>
  <c r="F46" i="74"/>
  <c r="F45" i="74"/>
  <c r="F44" i="74"/>
  <c r="F43" i="74"/>
  <c r="F31" i="74"/>
  <c r="F30" i="74"/>
  <c r="F29" i="74"/>
  <c r="F27" i="74"/>
  <c r="F26" i="74"/>
  <c r="F25" i="74"/>
  <c r="F24" i="74"/>
  <c r="F23" i="74"/>
  <c r="F22" i="74"/>
  <c r="F21" i="74"/>
  <c r="F20" i="74"/>
  <c r="F19" i="74"/>
  <c r="F18" i="74"/>
  <c r="F17" i="74"/>
  <c r="F16" i="74"/>
  <c r="F15" i="74"/>
  <c r="F13" i="74"/>
  <c r="F12" i="74"/>
  <c r="F14" i="74" s="1"/>
  <c r="F91" i="73"/>
  <c r="F90" i="73"/>
  <c r="F89" i="73"/>
  <c r="F88" i="73"/>
  <c r="F87" i="73"/>
  <c r="F86" i="73"/>
  <c r="F85" i="73"/>
  <c r="F83" i="73"/>
  <c r="F81" i="73"/>
  <c r="F80" i="73"/>
  <c r="F79" i="73"/>
  <c r="F78" i="73"/>
  <c r="F77" i="73"/>
  <c r="F76" i="73"/>
  <c r="F75" i="73"/>
  <c r="F74" i="73"/>
  <c r="F73" i="73"/>
  <c r="F71" i="73"/>
  <c r="F70" i="73"/>
  <c r="F69" i="73"/>
  <c r="F68" i="73"/>
  <c r="F67" i="73"/>
  <c r="F66" i="73"/>
  <c r="F65" i="73"/>
  <c r="F64" i="73"/>
  <c r="F63" i="73"/>
  <c r="F62" i="73"/>
  <c r="F61" i="73"/>
  <c r="F60" i="73"/>
  <c r="F59" i="73"/>
  <c r="F58" i="73"/>
  <c r="F57" i="73"/>
  <c r="F56" i="73"/>
  <c r="F55" i="73"/>
  <c r="F52" i="73"/>
  <c r="F54" i="73"/>
  <c r="F53" i="73"/>
  <c r="F51" i="73"/>
  <c r="F50" i="73"/>
  <c r="F46" i="73"/>
  <c r="F45" i="73"/>
  <c r="F27" i="73"/>
  <c r="F26" i="73"/>
  <c r="F25" i="73"/>
  <c r="F22" i="73"/>
  <c r="F21" i="73"/>
  <c r="F20" i="73"/>
  <c r="F19" i="73"/>
  <c r="F18" i="73"/>
  <c r="F84" i="73"/>
  <c r="F49" i="73"/>
  <c r="F48" i="73"/>
  <c r="F44" i="73"/>
  <c r="F43" i="73"/>
  <c r="F32" i="73"/>
  <c r="F31" i="73"/>
  <c r="F30" i="73"/>
  <c r="F29" i="73"/>
  <c r="F24" i="73"/>
  <c r="F23" i="73"/>
  <c r="F16" i="73"/>
  <c r="F17" i="73"/>
  <c r="F15" i="73"/>
  <c r="F13" i="73"/>
  <c r="F12" i="73"/>
  <c r="F31" i="70"/>
  <c r="F32" i="70"/>
  <c r="F33" i="70"/>
  <c r="F48" i="70"/>
  <c r="F49" i="70"/>
  <c r="F15" i="70"/>
  <c r="F17" i="70"/>
  <c r="F16" i="70"/>
  <c r="F12" i="70"/>
  <c r="F13" i="70"/>
  <c r="F56" i="70"/>
  <c r="F59" i="70"/>
  <c r="F69" i="70"/>
  <c r="F33" i="1"/>
  <c r="F30" i="1"/>
  <c r="F41" i="1"/>
  <c r="F40" i="1"/>
  <c r="F39" i="1"/>
  <c r="F38" i="1"/>
  <c r="F37" i="1"/>
  <c r="F29" i="1"/>
  <c r="F18" i="1"/>
  <c r="F36" i="1"/>
  <c r="F27" i="1"/>
  <c r="F26" i="1"/>
  <c r="F45" i="1"/>
  <c r="F25" i="1"/>
  <c r="F28" i="1"/>
  <c r="F24" i="1"/>
  <c r="F31" i="1"/>
  <c r="F35" i="1"/>
  <c r="F19" i="1"/>
  <c r="F21" i="1"/>
  <c r="F34" i="1"/>
  <c r="F46" i="1"/>
  <c r="F44" i="1"/>
  <c r="F47" i="1"/>
  <c r="F13" i="1"/>
  <c r="F14" i="1"/>
  <c r="F15" i="1"/>
  <c r="F32" i="1"/>
  <c r="F43" i="1"/>
  <c r="F20" i="1"/>
  <c r="F17" i="1"/>
  <c r="F16" i="1"/>
  <c r="F22" i="1"/>
  <c r="F48" i="1"/>
  <c r="F49" i="1"/>
  <c r="F50" i="1"/>
  <c r="F84" i="70" l="1"/>
  <c r="F74" i="76"/>
  <c r="F84" i="76"/>
  <c r="F52" i="76"/>
  <c r="F30" i="76"/>
  <c r="F14" i="76"/>
  <c r="F74" i="70"/>
  <c r="F52" i="70"/>
  <c r="F30" i="70"/>
  <c r="F14" i="70"/>
  <c r="F72" i="74"/>
  <c r="F82" i="74"/>
  <c r="F92" i="74"/>
  <c r="F47" i="74"/>
  <c r="F28" i="74"/>
  <c r="F82" i="73"/>
  <c r="F72" i="73"/>
  <c r="F28" i="73"/>
  <c r="F47" i="73"/>
  <c r="F92" i="73"/>
  <c r="F14" i="73"/>
  <c r="F85" i="70" l="1"/>
  <c r="F86" i="70" s="1"/>
  <c r="F87" i="70" s="1"/>
  <c r="F85" i="76"/>
  <c r="F86" i="76" s="1"/>
  <c r="F87" i="76" s="1"/>
  <c r="F93" i="74"/>
  <c r="F94" i="74" s="1"/>
  <c r="F95" i="74" s="1"/>
  <c r="F93" i="73"/>
  <c r="F94" i="73" s="1"/>
  <c r="F95" i="73" s="1"/>
</calcChain>
</file>

<file path=xl/sharedStrings.xml><?xml version="1.0" encoding="utf-8"?>
<sst xmlns="http://schemas.openxmlformats.org/spreadsheetml/2006/main" count="1024" uniqueCount="291">
  <si>
    <t>Hotel Name</t>
  </si>
  <si>
    <t>Atlantis The Royal</t>
  </si>
  <si>
    <t>Hotel website:</t>
  </si>
  <si>
    <t>https://www.atlantis.com/atlantis-the-royal/stays</t>
  </si>
  <si>
    <r>
      <t>Period:</t>
    </r>
    <r>
      <rPr>
        <sz val="11"/>
        <color theme="1"/>
        <rFont val="Calibri"/>
        <family val="2"/>
        <scheme val="minor"/>
      </rPr>
      <t xml:space="preserve"> 07.12.2023 to 10.12.2023</t>
    </r>
  </si>
  <si>
    <r>
      <rPr>
        <b/>
        <sz val="11"/>
        <color theme="1"/>
        <rFont val="Calibri"/>
        <family val="2"/>
        <charset val="204"/>
        <scheme val="minor"/>
      </rPr>
      <t>Type of the group</t>
    </r>
    <r>
      <rPr>
        <sz val="11"/>
        <color theme="1"/>
        <rFont val="Calibri"/>
        <family val="2"/>
        <charset val="204"/>
        <scheme val="minor"/>
      </rPr>
      <t xml:space="preserve">: Conference </t>
    </r>
  </si>
  <si>
    <r>
      <rPr>
        <b/>
        <sz val="11"/>
        <color theme="1"/>
        <rFont val="Calibri"/>
        <family val="2"/>
        <charset val="204"/>
        <scheme val="minor"/>
      </rPr>
      <t>Amount of pax</t>
    </r>
    <r>
      <rPr>
        <sz val="11"/>
        <color theme="1"/>
        <rFont val="Calibri"/>
        <family val="2"/>
        <charset val="204"/>
        <scheme val="minor"/>
      </rPr>
      <t>: 20</t>
    </r>
  </si>
  <si>
    <r>
      <rPr>
        <b/>
        <sz val="11"/>
        <color theme="1"/>
        <rFont val="Calibri"/>
        <family val="2"/>
        <charset val="204"/>
        <scheme val="minor"/>
      </rPr>
      <t>Destination:</t>
    </r>
    <r>
      <rPr>
        <sz val="11"/>
        <color theme="1"/>
        <rFont val="Calibri"/>
        <family val="2"/>
        <charset val="204"/>
        <scheme val="minor"/>
      </rPr>
      <t xml:space="preserve"> UAE- Dubai</t>
    </r>
  </si>
  <si>
    <r>
      <t xml:space="preserve">Contact INSIDERS Tourism: Ahmed Shelleh, </t>
    </r>
    <r>
      <rPr>
        <sz val="11"/>
        <color theme="0"/>
        <rFont val="Calibri"/>
        <family val="2"/>
        <charset val="204"/>
      </rPr>
      <t>ahmed@Insiders-uae.com, Mob: +971 50 3434428 ; Tel : +971 445 39 822</t>
    </r>
  </si>
  <si>
    <r>
      <t xml:space="preserve">Currency - </t>
    </r>
    <r>
      <rPr>
        <b/>
        <sz val="11"/>
        <color indexed="10"/>
        <rFont val="Arial"/>
        <family val="2"/>
        <charset val="204"/>
      </rPr>
      <t>US Dollars</t>
    </r>
  </si>
  <si>
    <t>Timing</t>
  </si>
  <si>
    <t>Service</t>
  </si>
  <si>
    <t>Unit, No</t>
  </si>
  <si>
    <t>Frequency of units</t>
  </si>
  <si>
    <t>Price per unit, USD</t>
  </si>
  <si>
    <t>Total, USD</t>
  </si>
  <si>
    <t>Comments</t>
  </si>
  <si>
    <t>Room Double/Twin (maximum 220 twin beds the rest will be sofa bed qeen size)</t>
  </si>
  <si>
    <t>3</t>
  </si>
  <si>
    <r>
      <t>Seascape Room</t>
    </r>
    <r>
      <rPr>
        <b/>
        <sz val="11"/>
        <color theme="1"/>
        <rFont val="Calibri"/>
        <family val="2"/>
        <scheme val="minor"/>
      </rPr>
      <t xml:space="preserve"> BB basis </t>
    </r>
    <r>
      <rPr>
        <sz val="11"/>
        <color theme="1"/>
        <rFont val="Calibri"/>
        <family val="2"/>
        <charset val="204"/>
        <scheme val="minor"/>
      </rPr>
      <t>(check inn time 15:00 checkout 12:00)</t>
    </r>
  </si>
  <si>
    <t xml:space="preserve">Room Single </t>
  </si>
  <si>
    <t>07.12.2023</t>
  </si>
  <si>
    <t xml:space="preserve">1 staff member from Insiders team during the entire stay </t>
  </si>
  <si>
    <t>1</t>
  </si>
  <si>
    <t xml:space="preserve">1-staff member for the 4 days </t>
  </si>
  <si>
    <t>TBA</t>
  </si>
  <si>
    <t>Arrival Transfer from DXB airport to the Atlantis The Royal</t>
  </si>
  <si>
    <t>Arrival by a 45-seater 2020+ model bus including one bottle of water for each person</t>
  </si>
  <si>
    <t xml:space="preserve">Russian Speaking Guide upon arrival and check inn </t>
  </si>
  <si>
    <t xml:space="preserve">Russian speaking Guide </t>
  </si>
  <si>
    <t>Return transfer shuttle service (Atlantis Royal Hotel and Souq Al Bahar)</t>
  </si>
  <si>
    <t>1-Bus 45-seater Shuttle service (The Royal to Souq Al Bahar, Dubai Mall)</t>
  </si>
  <si>
    <t xml:space="preserve">19:30 - 21:30 </t>
  </si>
  <si>
    <t>Welcome Dinner at Karma Restaurant with Fountain View</t>
  </si>
  <si>
    <t xml:space="preserve">Sharing style dinner menu </t>
  </si>
  <si>
    <t xml:space="preserve">2-hours drinks package (house wine, beer, spirits, soft drinks, and water) </t>
  </si>
  <si>
    <t xml:space="preserve">Drinks package for 2 hours, including house wine, beer, spirits, soft drinks, and water </t>
  </si>
  <si>
    <t>08.12.2023</t>
  </si>
  <si>
    <t>Breakfast at Hotel</t>
  </si>
  <si>
    <t>Included in Room Rate</t>
  </si>
  <si>
    <t xml:space="preserve">Full Day 1 -Bus &amp; 1 Guide  </t>
  </si>
  <si>
    <t>Full day bus and tour guide, 50-seater with Water Included</t>
  </si>
  <si>
    <t xml:space="preserve">08:30 - 10:30 </t>
  </si>
  <si>
    <t>Self drive experience Formula DXB at Autodrome (including refreshment station)</t>
  </si>
  <si>
    <t>Driving duration is 15-20 mins. Manual transmission experience and license required.</t>
  </si>
  <si>
    <t xml:space="preserve">11:30 - 14:30 </t>
  </si>
  <si>
    <t xml:space="preserve">Yacht rental for 3 hours </t>
  </si>
  <si>
    <t xml:space="preserve">3-hours Yacht rental private basis </t>
  </si>
  <si>
    <t>Barbeque lunch onboard with drinks package incl. house wine, beers, spirits, soft drinks, and water</t>
  </si>
  <si>
    <t>3 hours drinks package and bbq lunch onboard</t>
  </si>
  <si>
    <t xml:space="preserve">12:00 - 14:00 </t>
  </si>
  <si>
    <t>2-jet ski hire for 2-hours to be used during the cruise time</t>
  </si>
  <si>
    <t xml:space="preserve">2 jet skis available to use for 2 hours </t>
  </si>
  <si>
    <t xml:space="preserve">Drop off back to hotel free time to rest and refresh </t>
  </si>
  <si>
    <t>Free time to rest and refresh</t>
  </si>
  <si>
    <t>Dinner at En Fuego Dubai sharing style menu with 3 hours drinks package</t>
  </si>
  <si>
    <t xml:space="preserve">Located in Atlantis The Palm hotel </t>
  </si>
  <si>
    <t>09.12.2023</t>
  </si>
  <si>
    <t>Meeting room Rental</t>
  </si>
  <si>
    <t xml:space="preserve">Topaz Boardroom </t>
  </si>
  <si>
    <t xml:space="preserve">09:00 - 13:30 </t>
  </si>
  <si>
    <t>Half Day meeting cabaret style setup with 2 coffee breaks and standing lunch</t>
  </si>
  <si>
    <t>Including 2 coffee breaks and standing lunch with meeting collaterals (meeting stationery kits, minerl water, mints etc.)</t>
  </si>
  <si>
    <t xml:space="preserve">14:30 - 17:00 </t>
  </si>
  <si>
    <t>Half Day 1 -Bus &amp; 1 Guide for shopping in Dubai Mall</t>
  </si>
  <si>
    <t>Half Day 1-50 Seater bus, water included and 1 guide</t>
  </si>
  <si>
    <t xml:space="preserve">OPTION  // 14:30 - 17:00 </t>
  </si>
  <si>
    <t>Free time in the Hotel to enjoy the beach and water park</t>
  </si>
  <si>
    <t>Transfer (Atlantis The Royal - Al Habtoor City)</t>
  </si>
  <si>
    <t>1-Bus 45-seater Shuttle service from the The Royal, to Al Habtoor City</t>
  </si>
  <si>
    <t>18:30 - 20:00</t>
  </si>
  <si>
    <t>La Perle Show 90-mins Silver ticket</t>
  </si>
  <si>
    <t xml:space="preserve">90-Mins show </t>
  </si>
  <si>
    <t>20:00 - 23:00</t>
  </si>
  <si>
    <t>Dinner at Babiole sharing style menu including Live DJ - retaurant also located in Al Habtoor City</t>
  </si>
  <si>
    <t xml:space="preserve">Sharing style menu with 3-hours drinks package </t>
  </si>
  <si>
    <t xml:space="preserve">OPTIONAL // 20:30 - 22:30 </t>
  </si>
  <si>
    <t xml:space="preserve">Dinner at Nobu restaurant in Atlantis sharing style menu </t>
  </si>
  <si>
    <t>0</t>
  </si>
  <si>
    <t xml:space="preserve">Drinks package 2 hours house wine, beer, spirits, soft drinks, water </t>
  </si>
  <si>
    <t xml:space="preserve">Drinks package for 2 hours, including house wine, beer, Spirits and soft drinks </t>
  </si>
  <si>
    <t>Return transfer (Al Habtoor City- Altantis The Palm- The Royal)</t>
  </si>
  <si>
    <t>10.12.2023</t>
  </si>
  <si>
    <t>Free time at the hotel followed by checkout</t>
  </si>
  <si>
    <t xml:space="preserve">Departure Transfer to DXB airport </t>
  </si>
  <si>
    <t xml:space="preserve">Departure by a 45 seaters bus </t>
  </si>
  <si>
    <t>Total Expenses USD</t>
  </si>
  <si>
    <t xml:space="preserve">Grand Total </t>
  </si>
  <si>
    <t>Total per 1 pax, USD based on 1300-pax</t>
  </si>
  <si>
    <t>Important notes:</t>
  </si>
  <si>
    <t>1. Rates include all local taxes and are NET for your company</t>
  </si>
  <si>
    <t xml:space="preserve">2. nothing of the above is booked or blocked at the moment </t>
  </si>
  <si>
    <t xml:space="preserve">3. Positions marked as "Option" are not included in the total expences </t>
  </si>
  <si>
    <t>4. In case of changes in the number of participants the cost of services can be changed</t>
  </si>
  <si>
    <t>Hotel Name:</t>
  </si>
  <si>
    <t>BB Basis, standard check-in at 15:00, check-out 12:00</t>
  </si>
  <si>
    <t xml:space="preserve">Staff members from Insiders team during the entire stay </t>
  </si>
  <si>
    <t xml:space="preserve">2-staff members for the whole duration </t>
  </si>
  <si>
    <t xml:space="preserve">Russian Speaking Guide upon arrival </t>
  </si>
  <si>
    <t xml:space="preserve">Russian speaking guide upon arrival and check-in </t>
  </si>
  <si>
    <t xml:space="preserve">Transfer from DXB airport up to 45 - people to DXB hotel </t>
  </si>
  <si>
    <t>One bottle of water for each person</t>
  </si>
  <si>
    <t>2-Hours Drinks Package</t>
  </si>
  <si>
    <t xml:space="preserve">Includes house wine &amp; beer, soft drinks, water </t>
  </si>
  <si>
    <r>
      <rPr>
        <b/>
        <sz val="11"/>
        <color theme="1"/>
        <rFont val="Calibri"/>
        <family val="2"/>
        <scheme val="minor"/>
      </rPr>
      <t>Type of the group</t>
    </r>
    <r>
      <rPr>
        <sz val="11"/>
        <color theme="1"/>
        <rFont val="Calibri"/>
        <family val="2"/>
        <scheme val="minor"/>
      </rPr>
      <t>: Meeting</t>
    </r>
  </si>
  <si>
    <r>
      <t xml:space="preserve">Contact INSIDERS Tourism: Ahmed Shelleh, </t>
    </r>
    <r>
      <rPr>
        <sz val="11"/>
        <color theme="0"/>
        <rFont val="Calibri"/>
        <family val="2"/>
        <scheme val="minor"/>
      </rPr>
      <t>ahmed@Insiders-uae.com, Mob: +971 50 3434428 ; Tel : +971 445 39 822</t>
    </r>
  </si>
  <si>
    <r>
      <t xml:space="preserve">Currency - </t>
    </r>
    <r>
      <rPr>
        <b/>
        <sz val="11"/>
        <color indexed="10"/>
        <rFont val="Calibri"/>
        <family val="2"/>
        <scheme val="minor"/>
      </rPr>
      <t>US Dollars</t>
    </r>
  </si>
  <si>
    <r>
      <rPr>
        <b/>
        <sz val="11"/>
        <color theme="1"/>
        <rFont val="Calibri"/>
        <family val="2"/>
        <scheme val="minor"/>
      </rPr>
      <t>Amount of pax</t>
    </r>
    <r>
      <rPr>
        <sz val="11"/>
        <color theme="1"/>
        <rFont val="Calibri"/>
        <family val="2"/>
        <scheme val="minor"/>
      </rPr>
      <t>: 145</t>
    </r>
  </si>
  <si>
    <r>
      <rPr>
        <b/>
        <sz val="11"/>
        <color theme="1"/>
        <rFont val="Calibri"/>
        <family val="2"/>
        <scheme val="minor"/>
      </rPr>
      <t>Destination:</t>
    </r>
    <r>
      <rPr>
        <sz val="11"/>
        <color theme="1"/>
        <rFont val="Calibri"/>
        <family val="2"/>
        <scheme val="minor"/>
      </rPr>
      <t xml:space="preserve"> UAE - Abu Dhabi</t>
    </r>
  </si>
  <si>
    <t xml:space="preserve">Single </t>
  </si>
  <si>
    <t>Double/Twin (number of twin beds subject to availability)</t>
  </si>
  <si>
    <t>General Admission Ticket</t>
  </si>
  <si>
    <t>Free time at the Hotel</t>
  </si>
  <si>
    <t>09:00 - 18:00</t>
  </si>
  <si>
    <r>
      <rPr>
        <sz val="11"/>
        <color theme="1"/>
        <rFont val="Calibri"/>
        <family val="2"/>
      </rPr>
      <t xml:space="preserve">Approx. 1.5-hr tour of the official </t>
    </r>
    <r>
      <rPr>
        <b/>
        <sz val="11"/>
        <color theme="1"/>
        <rFont val="Calibri"/>
        <family val="2"/>
      </rPr>
      <t xml:space="preserve">Abu Dhabi F1 Grand Prix </t>
    </r>
    <r>
      <rPr>
        <sz val="11"/>
        <color theme="1"/>
        <rFont val="Calibri"/>
        <family val="2"/>
      </rPr>
      <t xml:space="preserve">Circuit </t>
    </r>
  </si>
  <si>
    <t xml:space="preserve">The total experience duration, including registration, gearing up, &amp; safety briefing is approx. 1-hr., including 15-mins. actual drive </t>
  </si>
  <si>
    <t>NOT INCLUDED IN THE TOTAL SUM</t>
  </si>
  <si>
    <t>Entry Tickets</t>
  </si>
  <si>
    <t>Total per 1 pax, USD based on 145-pax</t>
  </si>
  <si>
    <t>Includes wine, beer, soft drinks, &amp; water</t>
  </si>
  <si>
    <t>10:00 - 11:00</t>
  </si>
  <si>
    <t xml:space="preserve">This is an estimated price, rates will depend on the entertainment required. </t>
  </si>
  <si>
    <t>Private Event License Fee</t>
  </si>
  <si>
    <t>Live DJ for Entertainment</t>
  </si>
  <si>
    <t xml:space="preserve">Marriott Palm Island </t>
  </si>
  <si>
    <t>https://www.marriott.com/en-us/hotels/dxbpj-marriott-resort-palm-jumeirah-dubai/overview/?scid=f2ae0541-1279-4f24-b197-a979c79310b0</t>
  </si>
  <si>
    <t>Period: 15.02.2026 to 18.02.2026</t>
  </si>
  <si>
    <t>15.02.2026</t>
  </si>
  <si>
    <t xml:space="preserve">3-staff members for the whole duration </t>
  </si>
  <si>
    <t xml:space="preserve">Transfer from DXB airport up to 30 - people to DXB hotel </t>
  </si>
  <si>
    <t xml:space="preserve">Transfer from DXB airport by Minibus up to 9 - people to DXB hotel </t>
  </si>
  <si>
    <t xml:space="preserve">Transfer from DXB airport by Mercedes Sprinter up to 14 - people to DXB hotel </t>
  </si>
  <si>
    <t xml:space="preserve">Transfer from DXB airport by Standard Car up to 4 - people to DXB hotel </t>
  </si>
  <si>
    <t xml:space="preserve">Transfer from DXB airport by Mercedes V-class up to 5 - people to DXB hotel </t>
  </si>
  <si>
    <t>check inn at the hotel at 15:00</t>
  </si>
  <si>
    <t xml:space="preserve">Dinner at the all Day dining restaurant </t>
  </si>
  <si>
    <t xml:space="preserve">International Buffet Dinner </t>
  </si>
  <si>
    <t xml:space="preserve">Ballroom Rental fees one day for Setup </t>
  </si>
  <si>
    <t xml:space="preserve">Rental fees for one day setup and rehearsals </t>
  </si>
  <si>
    <t xml:space="preserve">AV Setup </t>
  </si>
  <si>
    <t xml:space="preserve">2-LED Screens 2.99 RES each 5x3 meters size and one backdrop in the middle with artworks size of 6x3, stage size 6x4 with podium, 2-Trasses with profile lights, washer lights &amp; moving heads) Audio system including mixer, 4-laple mic's, 3-hand held mic's one podium mic &amp; 4-speakers // crew, delivery and installation moderator, sound technician, video technication, light engineer </t>
  </si>
  <si>
    <t xml:space="preserve">One day rental </t>
  </si>
  <si>
    <t>16.02.2026</t>
  </si>
  <si>
    <t xml:space="preserve">Grandballroom size 350-SQM with 2 -coffee breaks and lunch </t>
  </si>
  <si>
    <t xml:space="preserve">coffee breaks will be served in the foyer area lunch can be standing in the foyer area or seated in the restaurant </t>
  </si>
  <si>
    <t xml:space="preserve">Gala Dinner at the West Beach Terrace located on the first floor outdoor </t>
  </si>
  <si>
    <t xml:space="preserve">3-Hours Drinks Package including wine, beer, soft drinks &amp; water </t>
  </si>
  <si>
    <t xml:space="preserve">Sound System 4-speakers, sound mixer, T trusses with lights, stage 6x4 meters </t>
  </si>
  <si>
    <t xml:space="preserve">Photographer </t>
  </si>
  <si>
    <t xml:space="preserve">Videographer </t>
  </si>
  <si>
    <t xml:space="preserve">3-Russian Speaking Guides full day </t>
  </si>
  <si>
    <t xml:space="preserve">3-Large Buses 50-seater </t>
  </si>
  <si>
    <t>09:30 - 23:00</t>
  </si>
  <si>
    <t>09:30 -14:00</t>
  </si>
  <si>
    <t xml:space="preserve">Fast Track tickets </t>
  </si>
  <si>
    <t>Visit Future MUSM Pioneer tickets (fast track)</t>
  </si>
  <si>
    <t>Visit Future MUSM standard tickets</t>
  </si>
  <si>
    <t>10:00 - 11:30</t>
  </si>
  <si>
    <t xml:space="preserve">12:30 - 14:30 </t>
  </si>
  <si>
    <t xml:space="preserve">Top Golf Game 2-hours with Lunch Buffet and 2 hours drinks package house wine &amp; beer </t>
  </si>
  <si>
    <t xml:space="preserve">31-Jeeps 5-people per jeep for Dune Drive in the Desert </t>
  </si>
  <si>
    <t xml:space="preserve">31 jeeps 5-people per jeep for pickup &amp; drop off and dune drive in the desert </t>
  </si>
  <si>
    <t xml:space="preserve">Dune Drive in the desert by Safari Profissional Guides </t>
  </si>
  <si>
    <t>Included in the Jeep rate</t>
  </si>
  <si>
    <t xml:space="preserve">Private Desert Camp rental </t>
  </si>
  <si>
    <t xml:space="preserve">Welcome drink of prossecco upon arrival at the camp with fresh fruits cuts 1-hour </t>
  </si>
  <si>
    <t xml:space="preserve">Falcon Show </t>
  </si>
  <si>
    <t xml:space="preserve">Included in camp rental </t>
  </si>
  <si>
    <t>Camel Ride total of 6-camels</t>
  </si>
  <si>
    <t xml:space="preserve">Sand Boarding </t>
  </si>
  <si>
    <t xml:space="preserve">Sound system of 4-speakers, and sound mixer, lights with T trusses </t>
  </si>
  <si>
    <t xml:space="preserve">Upgraded Live BBQ Buffet Dinner </t>
  </si>
  <si>
    <t xml:space="preserve">3-hours Drinks package including Prosecco, wine, beer, spirits, soft drinks &amp; water </t>
  </si>
  <si>
    <t xml:space="preserve">Belly Dancer &amp; Tanoura Show </t>
  </si>
  <si>
    <t xml:space="preserve">Drumer Show </t>
  </si>
  <si>
    <t xml:space="preserve">20-Mins </t>
  </si>
  <si>
    <t xml:space="preserve">Aud Player upon arrival at the camp </t>
  </si>
  <si>
    <t xml:space="preserve">45-Mins </t>
  </si>
  <si>
    <t xml:space="preserve">Arabic Callagraphy to write the names in Arabic on A5 size </t>
  </si>
  <si>
    <t xml:space="preserve">Henna Painting 2 Ladies </t>
  </si>
  <si>
    <t xml:space="preserve">Phillippe the Illusionist </t>
  </si>
  <si>
    <t xml:space="preserve">1-hour illusion show between the tables </t>
  </si>
  <si>
    <t>17:00 - 23:00</t>
  </si>
  <si>
    <t>15:00 - 23:30</t>
  </si>
  <si>
    <t xml:space="preserve">Drop off back to the hotel </t>
  </si>
  <si>
    <t xml:space="preserve">Included in Jeep rates </t>
  </si>
  <si>
    <t xml:space="preserve">17.02.2026 // Option 01 </t>
  </si>
  <si>
    <t xml:space="preserve">17.02.2026 // Option 02 </t>
  </si>
  <si>
    <t xml:space="preserve">Visit View The Palm observation deck </t>
  </si>
  <si>
    <t xml:space="preserve">entry ticket </t>
  </si>
  <si>
    <t xml:space="preserve">10:00 - 11:00 </t>
  </si>
  <si>
    <t>12:00 - 16:00</t>
  </si>
  <si>
    <t xml:space="preserve">Pool Party at the Beach club with Live DJ, Lunch and 3 hours Drinks package including 2-ready made cocktails, spirits, wine, beer, water &amp; soft drinks </t>
  </si>
  <si>
    <t xml:space="preserve">Drop off back to the hotel rest &amp; refresh </t>
  </si>
  <si>
    <t xml:space="preserve">pickup from the hotel by Buses for Dinner </t>
  </si>
  <si>
    <t>Included in the Bus rates</t>
  </si>
  <si>
    <t xml:space="preserve">3-Large Buses 50-seater for full day </t>
  </si>
  <si>
    <t xml:space="preserve">20:00 - 23:00 </t>
  </si>
  <si>
    <t xml:space="preserve">Private Party with Dinner &amp; 3 hours drinks package including 2 cocktails, spirits, wine &amp; beer, soft drinks, water, Live DJ, Dancers, Fire eater show, at Enfuego Restaurant Atlantis Palm Island </t>
  </si>
  <si>
    <t xml:space="preserve">Drop off Back to the hotel </t>
  </si>
  <si>
    <t>18.02.2026</t>
  </si>
  <si>
    <t xml:space="preserve">Check out from the hotel </t>
  </si>
  <si>
    <t xml:space="preserve">Russian Speaking Guide upon check out and departure transfer </t>
  </si>
  <si>
    <t xml:space="preserve">Transfer to DXB airport by Mercedes V-class up to 5 - people </t>
  </si>
  <si>
    <t xml:space="preserve">Transfer to DXB airport by Standard Car up to 4 - people </t>
  </si>
  <si>
    <t xml:space="preserve">Transfer to DXB airport by Mercedes Sprinter up to 14 - people </t>
  </si>
  <si>
    <t xml:space="preserve">Transfer to DXB airport by Minibus up to 9 - people </t>
  </si>
  <si>
    <t>Transfer to DXB airport up to 30 - people t</t>
  </si>
  <si>
    <t xml:space="preserve">Transfer to DXB airport up to 45 - people </t>
  </si>
  <si>
    <t xml:space="preserve">Atlantis Palm Island </t>
  </si>
  <si>
    <t>https://www.atlantis.com/atlantis-the-palm?utm_source=googleplaces&amp;utm_medium=location&amp;utm_campaign=atp&amp;utm_content=listing</t>
  </si>
  <si>
    <t xml:space="preserve">Spice ballroom size 538-SQM with 2 -coffee breaks and lunch </t>
  </si>
  <si>
    <r>
      <rPr>
        <b/>
        <sz val="11"/>
        <color theme="1"/>
        <rFont val="Calibri"/>
        <family val="2"/>
        <scheme val="minor"/>
      </rPr>
      <t>Destination:</t>
    </r>
    <r>
      <rPr>
        <sz val="11"/>
        <color theme="1"/>
        <rFont val="Calibri"/>
        <family val="2"/>
        <scheme val="minor"/>
      </rPr>
      <t xml:space="preserve"> UAE - Dubai</t>
    </r>
  </si>
  <si>
    <t>Period: 08.02.2026 to 11.02.2026</t>
  </si>
  <si>
    <t>08.02.2026</t>
  </si>
  <si>
    <t>09.02.2026</t>
  </si>
  <si>
    <t xml:space="preserve">10.02.2026 // Option 02 </t>
  </si>
  <si>
    <t>10.02.2026</t>
  </si>
  <si>
    <t xml:space="preserve">10.02.2026 // Option 01 </t>
  </si>
  <si>
    <t>11.02.2026</t>
  </si>
  <si>
    <t xml:space="preserve">Period: 08.02.2026 to 11.02.2026 </t>
  </si>
  <si>
    <t xml:space="preserve">Conrad Etihad Towers 5-stars beach hotel </t>
  </si>
  <si>
    <t>https://www.hilton.com/en/hotels/auhetci-conrad-abu-dhabi-etihad-towers/?SEO_id=GMB-EMEA-CI-AUHETCI</t>
  </si>
  <si>
    <t xml:space="preserve">Transfer from AUH airport by Mercedes Sprinter up to 14 - people to DXB hotel </t>
  </si>
  <si>
    <t xml:space="preserve">Transfer from AUH airport by Mercedes V-class up to 5 - people </t>
  </si>
  <si>
    <t xml:space="preserve">Transfer from AUH airport by Standard Car up to 4 - people </t>
  </si>
  <si>
    <t xml:space="preserve">Transfer from AUH airport by Minibus up to 9 - people </t>
  </si>
  <si>
    <t xml:space="preserve">Transfer from AUH airport up to 30 - people </t>
  </si>
  <si>
    <t xml:space="preserve">Transfer from AUH airport up to 45 - people </t>
  </si>
  <si>
    <t xml:space="preserve">Lunch can be served in Foyer area standing or seated in Section 02 as section one is 480-SQM and can take the 150-people cabaret setup </t>
  </si>
  <si>
    <t xml:space="preserve">Ballroom (section 01 &amp; 02) size 900-SQM renatal fees &amp; 2-coffee breaks and lunch </t>
  </si>
  <si>
    <t xml:space="preserve">Gala Dinner at the hotel ballroom round table seating Interanational Buffet </t>
  </si>
  <si>
    <t>09:30 -23:00</t>
  </si>
  <si>
    <t>09:00 - 23:00</t>
  </si>
  <si>
    <t>09:00 -23:00</t>
  </si>
  <si>
    <t xml:space="preserve">Visit Louver MUSM </t>
  </si>
  <si>
    <t>11:30 - 14:00</t>
  </si>
  <si>
    <t xml:space="preserve">11:30 - 14:00 </t>
  </si>
  <si>
    <t>Yas Venue tour at Yas Marina Circuit F1 (visit the podium, the race tower, and the garages)</t>
  </si>
  <si>
    <t xml:space="preserve">Go karting at Yas Marina Circuit Karts </t>
  </si>
  <si>
    <t>14:00 - 16:00</t>
  </si>
  <si>
    <t xml:space="preserve">Lunch at Garage Restaurant W Yas Island </t>
  </si>
  <si>
    <t xml:space="preserve">International Buffet </t>
  </si>
  <si>
    <t>16:30 - 19:00</t>
  </si>
  <si>
    <t xml:space="preserve">Ferrari world Theme park fast track tickets </t>
  </si>
  <si>
    <t xml:space="preserve">Fast Track entry ticket </t>
  </si>
  <si>
    <t xml:space="preserve">Ferrari world Theme park General addmission ticket </t>
  </si>
  <si>
    <t xml:space="preserve">Night swim with Dinner Buffet and 4-hours Drinks package including 2-cocktails, spirits, wine, beer, soft drinks &amp; water  at Café Delmar Yas Island Private Venue </t>
  </si>
  <si>
    <t>19:30 - 23:30</t>
  </si>
  <si>
    <t xml:space="preserve">Private Event permit </t>
  </si>
  <si>
    <t xml:space="preserve">Venue Rental Fees for private event </t>
  </si>
  <si>
    <t xml:space="preserve">Sax Player for 45-Mins </t>
  </si>
  <si>
    <t xml:space="preserve">water Dancers show in the pool 2-people 10-Mins </t>
  </si>
  <si>
    <t xml:space="preserve">Drummers show 25-Mins </t>
  </si>
  <si>
    <t xml:space="preserve">Transfer to AUH airport up to 45 - people </t>
  </si>
  <si>
    <t>Transfer to AUH airport up to 30 - people t</t>
  </si>
  <si>
    <t xml:space="preserve">Transfer to AUH airport by Minibus up to 9 - people </t>
  </si>
  <si>
    <t xml:space="preserve">Transfer to AUH airport by Mercedes Sprinter up to 14 - people </t>
  </si>
  <si>
    <t xml:space="preserve">Transfer to AUH airport by Standard Car up to 4 - people </t>
  </si>
  <si>
    <t xml:space="preserve">Transfer to AUH airport by Mercedes V-class up to 5 - people </t>
  </si>
  <si>
    <t xml:space="preserve">Double/Twin </t>
  </si>
  <si>
    <t>Double/Twin maximum of 70-Twin beds</t>
  </si>
  <si>
    <t xml:space="preserve">Yas Palza Marina Hotel 4-stars beach front </t>
  </si>
  <si>
    <t>https://www.ihg.com/spnd/hotels/us/en/abu-dhabi/auhay/hoteldetail</t>
  </si>
  <si>
    <t xml:space="preserve">Includes house Spirits, wine &amp; beer, soft drinks, water </t>
  </si>
  <si>
    <t xml:space="preserve">Ballroom Pearl size of 300-SQM with 2 coffee breaks and lunch </t>
  </si>
  <si>
    <t xml:space="preserve">Lunch can be served in the foyer area standing or the restaurant </t>
  </si>
  <si>
    <t xml:space="preserve">3-Hours Drinks Package Includes house Spirits, wine &amp; beer, soft drinks, water </t>
  </si>
  <si>
    <t>Period: 12.02.2026 to 15.02.2026</t>
  </si>
  <si>
    <t>12.02.2026</t>
  </si>
  <si>
    <t>13.02.2026</t>
  </si>
  <si>
    <t>14.02.2026</t>
  </si>
  <si>
    <t xml:space="preserve">Asil Restaurant </t>
  </si>
  <si>
    <t xml:space="preserve">Sharing style menu </t>
  </si>
  <si>
    <t>Private Gala Dinner at Al Wathba Luxury Resort- Al Mabeet Desert Venue</t>
  </si>
  <si>
    <t xml:space="preserve">Private Gala Dinner at Hakkasan Abu Dhabi - Michelin star restaurant </t>
  </si>
  <si>
    <t>GALA DINNER OPTION 1</t>
  </si>
  <si>
    <t>GALA DINNER OPTION 2</t>
  </si>
  <si>
    <t>GALA DINNER OPTION 3</t>
  </si>
  <si>
    <t xml:space="preserve">4-course sharing style concept </t>
  </si>
  <si>
    <t>19:00 - 22:30 //
GALA DINNER OPTION 1</t>
  </si>
  <si>
    <t xml:space="preserve">19:00 - 22:30 //
GALA DINNER OPTION 2 </t>
  </si>
  <si>
    <t>19:00 - 22:30 //
GALA DINNER OPTION 3</t>
  </si>
  <si>
    <t>1-LED screen 5x3 meters, truss and lights, stage 4x3 meters, and sound system</t>
  </si>
  <si>
    <t>1-LED screen 5x3 meters, stage 4x3 meters, and sound system</t>
  </si>
  <si>
    <t>GALA DINNER OPTION 4</t>
  </si>
  <si>
    <t xml:space="preserve">Private Gala Dinner at Siddharta Lounge </t>
  </si>
  <si>
    <t>1-LED screen 5x3 meters, stage 4x3 meters</t>
  </si>
  <si>
    <t xml:space="preserve">Dinner 4 course menu, canapes upon arrival included </t>
  </si>
  <si>
    <t xml:space="preserve">TODA Dubai - Madinat Jumeirah Immersive Venue rental including Panoramic LED screen, lights and sounds </t>
  </si>
  <si>
    <t>venue rental including in-built A/V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</si>
</sst>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[$USD]_-;\-* #,##0.00\ [$USD]_-;_-* &quot;-&quot;??\ [$USD]_-;_-@_-"/>
    <numFmt numFmtId="166" formatCode="_([$USD]\ * #,##0_);_([$USD]\ * \(#,##0\);_([$USD]\ * &quot;-&quot;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  <font>
      <sz val="11"/>
      <color theme="0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name val="Arial"/>
      <family val="2"/>
    </font>
    <font>
      <b/>
      <sz val="11"/>
      <color indexed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</cellStyleXfs>
  <cellXfs count="217">
    <xf numFmtId="0" fontId="0" fillId="0" borderId="0" xfId="0"/>
    <xf numFmtId="0" fontId="0" fillId="2" borderId="0" xfId="0" applyFill="1"/>
    <xf numFmtId="0" fontId="3" fillId="2" borderId="0" xfId="1" applyFill="1" applyAlignment="1">
      <alignment vertical="top"/>
    </xf>
    <xf numFmtId="0" fontId="2" fillId="2" borderId="0" xfId="1" applyFont="1" applyFill="1" applyAlignment="1">
      <alignment vertical="top"/>
    </xf>
    <xf numFmtId="0" fontId="4" fillId="2" borderId="0" xfId="2" applyFill="1"/>
    <xf numFmtId="0" fontId="3" fillId="2" borderId="0" xfId="1" applyFill="1" applyAlignment="1">
      <alignment vertical="center"/>
    </xf>
    <xf numFmtId="0" fontId="3" fillId="2" borderId="0" xfId="1" applyFill="1"/>
    <xf numFmtId="0" fontId="3" fillId="2" borderId="0" xfId="1" applyFill="1" applyAlignment="1">
      <alignment horizontal="left" vertical="center"/>
    </xf>
    <xf numFmtId="0" fontId="6" fillId="3" borderId="0" xfId="1" applyFont="1" applyFill="1" applyAlignment="1">
      <alignment vertical="center"/>
    </xf>
    <xf numFmtId="0" fontId="8" fillId="3" borderId="0" xfId="1" applyFont="1" applyFill="1" applyAlignment="1">
      <alignment vertical="top"/>
    </xf>
    <xf numFmtId="0" fontId="8" fillId="3" borderId="0" xfId="1" applyFont="1" applyFill="1" applyAlignment="1">
      <alignment vertical="center"/>
    </xf>
    <xf numFmtId="0" fontId="9" fillId="0" borderId="0" xfId="1" applyFont="1"/>
    <xf numFmtId="0" fontId="11" fillId="0" borderId="0" xfId="1" applyFont="1"/>
    <xf numFmtId="0" fontId="12" fillId="0" borderId="0" xfId="1" applyFont="1" applyAlignment="1">
      <alignment horizontal="center" vertical="center"/>
    </xf>
    <xf numFmtId="0" fontId="12" fillId="0" borderId="0" xfId="1" applyFont="1"/>
    <xf numFmtId="165" fontId="11" fillId="0" borderId="0" xfId="1" applyNumberFormat="1" applyFont="1" applyAlignment="1">
      <alignment horizontal="left"/>
    </xf>
    <xf numFmtId="165" fontId="11" fillId="0" borderId="0" xfId="1" applyNumberFormat="1" applyFont="1"/>
    <xf numFmtId="0" fontId="13" fillId="4" borderId="1" xfId="1" applyFont="1" applyFill="1" applyBorder="1" applyAlignment="1">
      <alignment horizontal="center" vertical="center"/>
    </xf>
    <xf numFmtId="49" fontId="13" fillId="4" borderId="2" xfId="1" applyNumberFormat="1" applyFont="1" applyFill="1" applyBorder="1" applyAlignment="1">
      <alignment horizontal="left" vertical="center" wrapText="1" shrinkToFit="1"/>
    </xf>
    <xf numFmtId="0" fontId="13" fillId="4" borderId="1" xfId="1" applyFont="1" applyFill="1" applyBorder="1" applyAlignment="1">
      <alignment horizontal="center" vertical="center" wrapText="1" shrinkToFit="1"/>
    </xf>
    <xf numFmtId="49" fontId="13" fillId="4" borderId="1" xfId="1" applyNumberFormat="1" applyFont="1" applyFill="1" applyBorder="1" applyAlignment="1">
      <alignment horizontal="center" vertical="center" wrapText="1" shrinkToFit="1"/>
    </xf>
    <xf numFmtId="165" fontId="13" fillId="4" borderId="1" xfId="3" applyNumberFormat="1" applyFont="1" applyFill="1" applyBorder="1" applyAlignment="1">
      <alignment horizontal="center" vertical="center" wrapText="1" shrinkToFit="1"/>
    </xf>
    <xf numFmtId="165" fontId="13" fillId="4" borderId="1" xfId="1" applyNumberFormat="1" applyFont="1" applyFill="1" applyBorder="1" applyAlignment="1">
      <alignment horizontal="center" vertical="center" wrapText="1"/>
    </xf>
    <xf numFmtId="49" fontId="13" fillId="4" borderId="3" xfId="3" applyNumberFormat="1" applyFont="1" applyFill="1" applyBorder="1" applyAlignment="1">
      <alignment horizontal="center" vertical="center" wrapText="1" shrinkToFit="1"/>
    </xf>
    <xf numFmtId="14" fontId="15" fillId="5" borderId="4" xfId="1" applyNumberFormat="1" applyFont="1" applyFill="1" applyBorder="1" applyAlignment="1">
      <alignment vertical="top"/>
    </xf>
    <xf numFmtId="0" fontId="15" fillId="5" borderId="5" xfId="1" applyFont="1" applyFill="1" applyBorder="1" applyAlignment="1">
      <alignment vertical="center" wrapText="1" shrinkToFit="1"/>
    </xf>
    <xf numFmtId="0" fontId="16" fillId="5" borderId="4" xfId="3" applyFont="1" applyFill="1" applyBorder="1" applyAlignment="1">
      <alignment vertical="center" shrinkToFit="1"/>
    </xf>
    <xf numFmtId="3" fontId="16" fillId="5" borderId="4" xfId="3" applyNumberFormat="1" applyFont="1" applyFill="1" applyBorder="1" applyAlignment="1">
      <alignment vertical="center" shrinkToFit="1"/>
    </xf>
    <xf numFmtId="2" fontId="16" fillId="5" borderId="4" xfId="1" applyNumberFormat="1" applyFont="1" applyFill="1" applyBorder="1" applyAlignment="1">
      <alignment vertical="center"/>
    </xf>
    <xf numFmtId="164" fontId="17" fillId="5" borderId="4" xfId="4" applyFont="1" applyFill="1" applyBorder="1" applyAlignment="1">
      <alignment vertical="center"/>
    </xf>
    <xf numFmtId="3" fontId="16" fillId="5" borderId="6" xfId="1" applyNumberFormat="1" applyFont="1" applyFill="1" applyBorder="1" applyAlignment="1">
      <alignment vertical="center" wrapText="1" shrinkToFit="1"/>
    </xf>
    <xf numFmtId="0" fontId="15" fillId="2" borderId="4" xfId="1" applyFont="1" applyFill="1" applyBorder="1" applyAlignment="1">
      <alignment horizontal="center" vertical="center"/>
    </xf>
    <xf numFmtId="49" fontId="5" fillId="2" borderId="5" xfId="1" applyNumberFormat="1" applyFont="1" applyFill="1" applyBorder="1" applyAlignment="1">
      <alignment horizontal="left" vertical="center" wrapText="1" shrinkToFit="1"/>
    </xf>
    <xf numFmtId="0" fontId="3" fillId="2" borderId="4" xfId="1" applyFill="1" applyBorder="1" applyAlignment="1">
      <alignment horizontal="center" vertical="center" wrapText="1" shrinkToFit="1"/>
    </xf>
    <xf numFmtId="49" fontId="3" fillId="2" borderId="4" xfId="1" applyNumberFormat="1" applyFill="1" applyBorder="1" applyAlignment="1">
      <alignment horizontal="center" vertical="center" wrapText="1" shrinkToFit="1"/>
    </xf>
    <xf numFmtId="2" fontId="3" fillId="2" borderId="4" xfId="3" applyNumberFormat="1" applyFont="1" applyFill="1" applyBorder="1" applyAlignment="1">
      <alignment horizontal="center" vertical="center" wrapText="1" shrinkToFit="1"/>
    </xf>
    <xf numFmtId="2" fontId="3" fillId="2" borderId="6" xfId="1" applyNumberFormat="1" applyFill="1" applyBorder="1" applyAlignment="1">
      <alignment horizontal="center" vertical="center" wrapText="1"/>
    </xf>
    <xf numFmtId="49" fontId="3" fillId="2" borderId="6" xfId="3" applyNumberFormat="1" applyFont="1" applyFill="1" applyBorder="1" applyAlignment="1">
      <alignment horizontal="left" vertical="center" wrapText="1" shrinkToFit="1"/>
    </xf>
    <xf numFmtId="20" fontId="15" fillId="0" borderId="4" xfId="1" applyNumberFormat="1" applyFont="1" applyBorder="1" applyAlignment="1">
      <alignment horizontal="center" vertical="center"/>
    </xf>
    <xf numFmtId="49" fontId="16" fillId="2" borderId="6" xfId="1" applyNumberFormat="1" applyFont="1" applyFill="1" applyBorder="1" applyAlignment="1">
      <alignment horizontal="left" vertical="center" wrapText="1" shrinkToFit="1"/>
    </xf>
    <xf numFmtId="2" fontId="18" fillId="2" borderId="6" xfId="1" applyNumberFormat="1" applyFont="1" applyFill="1" applyBorder="1" applyAlignment="1">
      <alignment horizontal="center" vertical="center" wrapText="1"/>
    </xf>
    <xf numFmtId="49" fontId="16" fillId="2" borderId="7" xfId="1" applyNumberFormat="1" applyFont="1" applyFill="1" applyBorder="1" applyAlignment="1">
      <alignment horizontal="left" vertical="center" wrapText="1" shrinkToFit="1"/>
    </xf>
    <xf numFmtId="49" fontId="3" fillId="2" borderId="5" xfId="1" applyNumberFormat="1" applyFill="1" applyBorder="1" applyAlignment="1">
      <alignment horizontal="center" vertical="center" wrapText="1" shrinkToFit="1"/>
    </xf>
    <xf numFmtId="2" fontId="3" fillId="2" borderId="5" xfId="3" applyNumberFormat="1" applyFont="1" applyFill="1" applyBorder="1" applyAlignment="1">
      <alignment horizontal="center" vertical="center" wrapText="1" shrinkToFit="1"/>
    </xf>
    <xf numFmtId="2" fontId="16" fillId="2" borderId="6" xfId="1" applyNumberFormat="1" applyFont="1" applyFill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shrinkToFit="1"/>
    </xf>
    <xf numFmtId="49" fontId="16" fillId="2" borderId="5" xfId="1" applyNumberFormat="1" applyFont="1" applyFill="1" applyBorder="1" applyAlignment="1">
      <alignment horizontal="center" vertical="center" wrapText="1" shrinkToFit="1"/>
    </xf>
    <xf numFmtId="2" fontId="16" fillId="2" borderId="5" xfId="3" applyNumberFormat="1" applyFont="1" applyFill="1" applyBorder="1" applyAlignment="1">
      <alignment horizontal="center" vertical="center" wrapText="1" shrinkToFit="1"/>
    </xf>
    <xf numFmtId="0" fontId="16" fillId="0" borderId="6" xfId="1" applyFont="1" applyBorder="1" applyAlignment="1">
      <alignment vertical="center" wrapText="1"/>
    </xf>
    <xf numFmtId="164" fontId="15" fillId="5" borderId="4" xfId="4" applyFont="1" applyFill="1" applyBorder="1" applyAlignment="1">
      <alignment vertical="top"/>
    </xf>
    <xf numFmtId="14" fontId="16" fillId="0" borderId="6" xfId="1" applyNumberFormat="1" applyFont="1" applyBorder="1" applyAlignment="1">
      <alignment vertical="center"/>
    </xf>
    <xf numFmtId="49" fontId="16" fillId="2" borderId="6" xfId="1" applyNumberFormat="1" applyFont="1" applyFill="1" applyBorder="1" applyAlignment="1">
      <alignment vertical="center" wrapText="1" shrinkToFit="1"/>
    </xf>
    <xf numFmtId="3" fontId="16" fillId="0" borderId="6" xfId="1" applyNumberFormat="1" applyFont="1" applyBorder="1" applyAlignment="1">
      <alignment horizontal="center" vertical="center" shrinkToFit="1"/>
    </xf>
    <xf numFmtId="2" fontId="16" fillId="0" borderId="6" xfId="1" applyNumberFormat="1" applyFont="1" applyBorder="1" applyAlignment="1">
      <alignment horizontal="center" vertical="center"/>
    </xf>
    <xf numFmtId="0" fontId="15" fillId="4" borderId="1" xfId="1" applyFont="1" applyFill="1" applyBorder="1" applyAlignment="1">
      <alignment horizontal="center" vertical="center"/>
    </xf>
    <xf numFmtId="164" fontId="13" fillId="4" borderId="1" xfId="1" applyNumberFormat="1" applyFont="1" applyFill="1" applyBorder="1" applyAlignment="1">
      <alignment horizontal="center" vertical="center" wrapText="1"/>
    </xf>
    <xf numFmtId="0" fontId="15" fillId="4" borderId="8" xfId="1" applyFont="1" applyFill="1" applyBorder="1" applyAlignment="1">
      <alignment horizontal="center" vertical="center"/>
    </xf>
    <xf numFmtId="166" fontId="13" fillId="4" borderId="1" xfId="1" applyNumberFormat="1" applyFont="1" applyFill="1" applyBorder="1" applyAlignment="1">
      <alignment horizontal="center" vertical="center" wrapText="1"/>
    </xf>
    <xf numFmtId="0" fontId="19" fillId="2" borderId="0" xfId="1" applyFont="1" applyFill="1" applyAlignment="1">
      <alignment vertical="top"/>
    </xf>
    <xf numFmtId="0" fontId="3" fillId="2" borderId="0" xfId="1" applyFill="1" applyAlignment="1">
      <alignment vertical="center" wrapText="1"/>
    </xf>
    <xf numFmtId="0" fontId="4" fillId="2" borderId="0" xfId="2" applyFill="1" applyAlignment="1">
      <alignment vertical="top"/>
    </xf>
    <xf numFmtId="14" fontId="16" fillId="0" borderId="4" xfId="1" applyNumberFormat="1" applyFont="1" applyBorder="1" applyAlignment="1">
      <alignment vertical="center"/>
    </xf>
    <xf numFmtId="3" fontId="16" fillId="0" borderId="4" xfId="1" applyNumberFormat="1" applyFont="1" applyBorder="1" applyAlignment="1">
      <alignment horizontal="center" vertical="center" shrinkToFit="1"/>
    </xf>
    <xf numFmtId="49" fontId="16" fillId="0" borderId="6" xfId="1" applyNumberFormat="1" applyFont="1" applyBorder="1" applyAlignment="1">
      <alignment horizontal="left" vertical="center" wrapText="1" shrinkToFit="1"/>
    </xf>
    <xf numFmtId="49" fontId="16" fillId="2" borderId="5" xfId="1" applyNumberFormat="1" applyFont="1" applyFill="1" applyBorder="1" applyAlignment="1">
      <alignment horizontal="left" vertical="center" wrapText="1" shrinkToFit="1"/>
    </xf>
    <xf numFmtId="0" fontId="16" fillId="0" borderId="4" xfId="1" applyFont="1" applyBorder="1" applyAlignment="1">
      <alignment vertical="center" wrapText="1"/>
    </xf>
    <xf numFmtId="49" fontId="20" fillId="0" borderId="5" xfId="1" applyNumberFormat="1" applyFont="1" applyBorder="1" applyAlignment="1">
      <alignment horizontal="center" vertical="center" wrapText="1" shrinkToFit="1"/>
    </xf>
    <xf numFmtId="2" fontId="16" fillId="0" borderId="5" xfId="3" applyNumberFormat="1" applyFont="1" applyFill="1" applyBorder="1" applyAlignment="1">
      <alignment horizontal="center" vertical="center" wrapText="1" shrinkToFit="1"/>
    </xf>
    <xf numFmtId="2" fontId="20" fillId="0" borderId="6" xfId="1" applyNumberFormat="1" applyFont="1" applyBorder="1" applyAlignment="1">
      <alignment horizontal="center" vertical="center" wrapText="1"/>
    </xf>
    <xf numFmtId="49" fontId="3" fillId="0" borderId="6" xfId="3" applyNumberFormat="1" applyFont="1" applyFill="1" applyBorder="1" applyAlignment="1">
      <alignment horizontal="left" vertical="center" wrapText="1" shrinkToFit="1"/>
    </xf>
    <xf numFmtId="2" fontId="20" fillId="0" borderId="4" xfId="1" applyNumberFormat="1" applyFont="1" applyBorder="1" applyAlignment="1">
      <alignment horizontal="center" vertical="center" wrapText="1"/>
    </xf>
    <xf numFmtId="49" fontId="3" fillId="0" borderId="4" xfId="3" applyNumberFormat="1" applyFont="1" applyFill="1" applyBorder="1" applyAlignment="1">
      <alignment horizontal="left" vertical="center" wrapText="1" shrinkToFit="1"/>
    </xf>
    <xf numFmtId="0" fontId="3" fillId="2" borderId="7" xfId="1" applyFill="1" applyBorder="1" applyAlignment="1">
      <alignment horizontal="center" vertical="center" wrapText="1" shrinkToFit="1"/>
    </xf>
    <xf numFmtId="2" fontId="3" fillId="0" borderId="5" xfId="3" applyNumberFormat="1" applyFont="1" applyFill="1" applyBorder="1" applyAlignment="1">
      <alignment horizontal="center" vertical="center" wrapText="1" shrinkToFit="1"/>
    </xf>
    <xf numFmtId="0" fontId="3" fillId="2" borderId="5" xfId="1" applyFill="1" applyBorder="1" applyAlignment="1">
      <alignment horizontal="center" vertical="center" wrapText="1" shrinkToFit="1"/>
    </xf>
    <xf numFmtId="20" fontId="15" fillId="0" borderId="6" xfId="1" applyNumberFormat="1" applyFont="1" applyBorder="1" applyAlignment="1">
      <alignment horizontal="center" vertical="center"/>
    </xf>
    <xf numFmtId="49" fontId="16" fillId="0" borderId="9" xfId="1" applyNumberFormat="1" applyFont="1" applyBorder="1" applyAlignment="1">
      <alignment horizontal="left" vertical="center" wrapText="1" shrinkToFit="1"/>
    </xf>
    <xf numFmtId="0" fontId="3" fillId="0" borderId="7" xfId="1" applyBorder="1" applyAlignment="1">
      <alignment horizontal="center" vertical="center" wrapText="1" shrinkToFit="1"/>
    </xf>
    <xf numFmtId="2" fontId="18" fillId="2" borderId="5" xfId="3" applyNumberFormat="1" applyFont="1" applyFill="1" applyBorder="1" applyAlignment="1">
      <alignment horizontal="center" vertical="center" wrapText="1" shrinkToFit="1"/>
    </xf>
    <xf numFmtId="49" fontId="16" fillId="0" borderId="10" xfId="1" applyNumberFormat="1" applyFont="1" applyBorder="1" applyAlignment="1">
      <alignment horizontal="left" vertical="center" wrapText="1" shrinkToFit="1"/>
    </xf>
    <xf numFmtId="0" fontId="3" fillId="0" borderId="5" xfId="1" applyBorder="1" applyAlignment="1">
      <alignment horizontal="center" vertical="center" wrapText="1" shrinkToFit="1"/>
    </xf>
    <xf numFmtId="0" fontId="2" fillId="6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18" fillId="2" borderId="5" xfId="1" applyNumberFormat="1" applyFont="1" applyFill="1" applyBorder="1" applyAlignment="1">
      <alignment horizontal="center" vertical="center" wrapText="1" shrinkToFit="1"/>
    </xf>
    <xf numFmtId="49" fontId="21" fillId="0" borderId="5" xfId="1" applyNumberFormat="1" applyFont="1" applyBorder="1" applyAlignment="1">
      <alignment horizontal="center" vertical="center" wrapText="1" shrinkToFit="1"/>
    </xf>
    <xf numFmtId="2" fontId="18" fillId="0" borderId="5" xfId="3" applyNumberFormat="1" applyFont="1" applyFill="1" applyBorder="1" applyAlignment="1">
      <alignment horizontal="center" vertical="center" wrapText="1" shrinkToFit="1"/>
    </xf>
    <xf numFmtId="2" fontId="21" fillId="0" borderId="6" xfId="1" applyNumberFormat="1" applyFont="1" applyBorder="1" applyAlignment="1">
      <alignment horizontal="center" vertical="center" wrapText="1"/>
    </xf>
    <xf numFmtId="20" fontId="2" fillId="0" borderId="5" xfId="0" applyNumberFormat="1" applyFont="1" applyBorder="1" applyAlignment="1">
      <alignment horizontal="center" vertical="center"/>
    </xf>
    <xf numFmtId="49" fontId="16" fillId="0" borderId="4" xfId="1" applyNumberFormat="1" applyFont="1" applyBorder="1" applyAlignment="1">
      <alignment horizontal="left" vertical="center" wrapText="1" shrinkToFit="1"/>
    </xf>
    <xf numFmtId="49" fontId="16" fillId="2" borderId="7" xfId="1" applyNumberFormat="1" applyFont="1" applyFill="1" applyBorder="1" applyAlignment="1">
      <alignment vertical="center" wrapText="1" shrinkToFit="1"/>
    </xf>
    <xf numFmtId="3" fontId="16" fillId="0" borderId="5" xfId="1" applyNumberFormat="1" applyFont="1" applyBorder="1" applyAlignment="1">
      <alignment horizontal="center" vertical="center" shrinkToFit="1"/>
    </xf>
    <xf numFmtId="2" fontId="16" fillId="0" borderId="5" xfId="1" applyNumberFormat="1" applyFont="1" applyBorder="1" applyAlignment="1">
      <alignment horizontal="center" vertical="center"/>
    </xf>
    <xf numFmtId="0" fontId="2" fillId="2" borderId="0" xfId="0" applyFont="1" applyFill="1"/>
    <xf numFmtId="0" fontId="22" fillId="0" borderId="6" xfId="1" applyFont="1" applyBorder="1" applyAlignment="1">
      <alignment horizontal="center" vertical="center" shrinkToFit="1"/>
    </xf>
    <xf numFmtId="0" fontId="22" fillId="0" borderId="6" xfId="1" applyFont="1" applyBorder="1" applyAlignment="1">
      <alignment vertical="center" wrapText="1"/>
    </xf>
    <xf numFmtId="49" fontId="22" fillId="2" borderId="6" xfId="1" applyNumberFormat="1" applyFont="1" applyFill="1" applyBorder="1" applyAlignment="1">
      <alignment horizontal="left" vertical="center" wrapText="1" shrinkToFit="1"/>
    </xf>
    <xf numFmtId="49" fontId="23" fillId="2" borderId="6" xfId="3" applyNumberFormat="1" applyFont="1" applyFill="1" applyBorder="1" applyAlignment="1">
      <alignment horizontal="left" vertical="center" wrapText="1" shrinkToFit="1"/>
    </xf>
    <xf numFmtId="20" fontId="17" fillId="0" borderId="4" xfId="1" applyNumberFormat="1" applyFont="1" applyBorder="1" applyAlignment="1">
      <alignment horizontal="center" vertical="center"/>
    </xf>
    <xf numFmtId="0" fontId="23" fillId="2" borderId="4" xfId="1" applyFont="1" applyFill="1" applyBorder="1" applyAlignment="1">
      <alignment horizontal="center" vertical="center" wrapText="1" shrinkToFit="1"/>
    </xf>
    <xf numFmtId="49" fontId="23" fillId="2" borderId="4" xfId="1" applyNumberFormat="1" applyFont="1" applyFill="1" applyBorder="1" applyAlignment="1">
      <alignment horizontal="center" vertical="center" wrapText="1" shrinkToFit="1"/>
    </xf>
    <xf numFmtId="2" fontId="23" fillId="2" borderId="4" xfId="3" applyNumberFormat="1" applyFont="1" applyFill="1" applyBorder="1" applyAlignment="1">
      <alignment horizontal="center" vertical="center" wrapText="1" shrinkToFit="1"/>
    </xf>
    <xf numFmtId="2" fontId="23" fillId="0" borderId="6" xfId="3" applyNumberFormat="1" applyFont="1" applyFill="1" applyBorder="1" applyAlignment="1">
      <alignment horizontal="center" vertical="center" wrapText="1" shrinkToFit="1"/>
    </xf>
    <xf numFmtId="0" fontId="22" fillId="2" borderId="4" xfId="1" applyFont="1" applyFill="1" applyBorder="1" applyAlignment="1">
      <alignment horizontal="center" vertical="center" wrapText="1" shrinkToFit="1"/>
    </xf>
    <xf numFmtId="49" fontId="22" fillId="2" borderId="4" xfId="1" applyNumberFormat="1" applyFont="1" applyFill="1" applyBorder="1" applyAlignment="1">
      <alignment horizontal="center" vertical="center" wrapText="1" shrinkToFit="1"/>
    </xf>
    <xf numFmtId="2" fontId="22" fillId="2" borderId="4" xfId="3" applyNumberFormat="1" applyFont="1" applyFill="1" applyBorder="1" applyAlignment="1">
      <alignment horizontal="center" vertical="center" wrapText="1" shrinkToFit="1"/>
    </xf>
    <xf numFmtId="49" fontId="22" fillId="2" borderId="6" xfId="5" applyNumberFormat="1" applyFont="1" applyFill="1" applyBorder="1" applyAlignment="1">
      <alignment horizontal="left" vertical="center" wrapText="1" shrinkToFit="1"/>
    </xf>
    <xf numFmtId="49" fontId="24" fillId="2" borderId="4" xfId="5" applyNumberFormat="1" applyFont="1" applyFill="1" applyBorder="1" applyAlignment="1">
      <alignment horizontal="center" vertical="center" wrapText="1" shrinkToFit="1"/>
    </xf>
    <xf numFmtId="2" fontId="24" fillId="2" borderId="4" xfId="3" applyNumberFormat="1" applyFont="1" applyFill="1" applyBorder="1" applyAlignment="1">
      <alignment horizontal="center" vertical="center" wrapText="1" shrinkToFit="1"/>
    </xf>
    <xf numFmtId="49" fontId="24" fillId="2" borderId="5" xfId="5" applyNumberFormat="1" applyFont="1" applyFill="1" applyBorder="1" applyAlignment="1">
      <alignment horizontal="center" vertical="center" wrapText="1" shrinkToFit="1"/>
    </xf>
    <xf numFmtId="0" fontId="22" fillId="2" borderId="4" xfId="5" applyFont="1" applyFill="1" applyBorder="1" applyAlignment="1">
      <alignment horizontal="center" vertical="center" wrapText="1" shrinkToFit="1"/>
    </xf>
    <xf numFmtId="49" fontId="22" fillId="2" borderId="5" xfId="5" applyNumberFormat="1" applyFont="1" applyFill="1" applyBorder="1" applyAlignment="1">
      <alignment horizontal="center" vertical="center" wrapText="1" shrinkToFit="1"/>
    </xf>
    <xf numFmtId="2" fontId="22" fillId="0" borderId="6" xfId="3" applyNumberFormat="1" applyFont="1" applyFill="1" applyBorder="1" applyAlignment="1">
      <alignment horizontal="center" vertical="center" wrapText="1" shrinkToFit="1"/>
    </xf>
    <xf numFmtId="0" fontId="25" fillId="2" borderId="0" xfId="0" applyFont="1" applyFill="1"/>
    <xf numFmtId="0" fontId="23" fillId="2" borderId="0" xfId="1" applyFont="1" applyFill="1" applyAlignment="1">
      <alignment vertical="center"/>
    </xf>
    <xf numFmtId="0" fontId="23" fillId="2" borderId="0" xfId="1" applyFont="1" applyFill="1" applyAlignment="1">
      <alignment vertical="top"/>
    </xf>
    <xf numFmtId="0" fontId="23" fillId="2" borderId="0" xfId="1" applyFont="1" applyFill="1"/>
    <xf numFmtId="0" fontId="28" fillId="2" borderId="0" xfId="2" applyFont="1" applyFill="1"/>
    <xf numFmtId="0" fontId="23" fillId="2" borderId="0" xfId="1" applyFont="1" applyFill="1" applyAlignment="1">
      <alignment horizontal="left" vertical="center"/>
    </xf>
    <xf numFmtId="0" fontId="26" fillId="3" borderId="0" xfId="1" applyFont="1" applyFill="1" applyAlignment="1">
      <alignment vertical="center"/>
    </xf>
    <xf numFmtId="0" fontId="27" fillId="3" borderId="0" xfId="1" applyFont="1" applyFill="1" applyAlignment="1">
      <alignment vertical="top"/>
    </xf>
    <xf numFmtId="0" fontId="17" fillId="0" borderId="0" xfId="1" applyFont="1"/>
    <xf numFmtId="0" fontId="26" fillId="4" borderId="1" xfId="1" applyFont="1" applyFill="1" applyBorder="1" applyAlignment="1">
      <alignment horizontal="center" vertical="center"/>
    </xf>
    <xf numFmtId="49" fontId="26" fillId="4" borderId="2" xfId="1" applyNumberFormat="1" applyFont="1" applyFill="1" applyBorder="1" applyAlignment="1">
      <alignment horizontal="left" vertical="center" wrapText="1" shrinkToFit="1"/>
    </xf>
    <xf numFmtId="0" fontId="26" fillId="4" borderId="1" xfId="1" applyFont="1" applyFill="1" applyBorder="1" applyAlignment="1">
      <alignment horizontal="center" vertical="center" wrapText="1" shrinkToFit="1"/>
    </xf>
    <xf numFmtId="49" fontId="26" fillId="4" borderId="1" xfId="1" applyNumberFormat="1" applyFont="1" applyFill="1" applyBorder="1" applyAlignment="1">
      <alignment horizontal="center" vertical="center" wrapText="1" shrinkToFit="1"/>
    </xf>
    <xf numFmtId="165" fontId="26" fillId="4" borderId="1" xfId="3" applyNumberFormat="1" applyFont="1" applyFill="1" applyBorder="1" applyAlignment="1">
      <alignment horizontal="center" vertical="center" wrapText="1" shrinkToFit="1"/>
    </xf>
    <xf numFmtId="165" fontId="26" fillId="4" borderId="11" xfId="3" applyNumberFormat="1" applyFont="1" applyFill="1" applyBorder="1" applyAlignment="1">
      <alignment horizontal="center" vertical="center" wrapText="1" shrinkToFit="1"/>
    </xf>
    <xf numFmtId="49" fontId="26" fillId="4" borderId="3" xfId="3" applyNumberFormat="1" applyFont="1" applyFill="1" applyBorder="1" applyAlignment="1">
      <alignment horizontal="center" vertical="center" wrapText="1" shrinkToFit="1"/>
    </xf>
    <xf numFmtId="49" fontId="2" fillId="2" borderId="5" xfId="1" applyNumberFormat="1" applyFont="1" applyFill="1" applyBorder="1" applyAlignment="1">
      <alignment horizontal="left" vertical="center" wrapText="1" shrinkToFit="1"/>
    </xf>
    <xf numFmtId="2" fontId="23" fillId="0" borderId="4" xfId="3" applyNumberFormat="1" applyFont="1" applyFill="1" applyBorder="1" applyAlignment="1">
      <alignment horizontal="center" vertical="center" wrapText="1" shrinkToFit="1"/>
    </xf>
    <xf numFmtId="14" fontId="17" fillId="5" borderId="4" xfId="1" applyNumberFormat="1" applyFont="1" applyFill="1" applyBorder="1" applyAlignment="1">
      <alignment vertical="top"/>
    </xf>
    <xf numFmtId="0" fontId="17" fillId="5" borderId="5" xfId="1" applyFont="1" applyFill="1" applyBorder="1" applyAlignment="1">
      <alignment vertical="center" wrapText="1" shrinkToFit="1"/>
    </xf>
    <xf numFmtId="0" fontId="22" fillId="5" borderId="4" xfId="3" applyFont="1" applyFill="1" applyBorder="1" applyAlignment="1">
      <alignment vertical="center" shrinkToFit="1"/>
    </xf>
    <xf numFmtId="3" fontId="22" fillId="5" borderId="4" xfId="3" applyNumberFormat="1" applyFont="1" applyFill="1" applyBorder="1" applyAlignment="1">
      <alignment vertical="center" shrinkToFit="1"/>
    </xf>
    <xf numFmtId="2" fontId="22" fillId="5" borderId="4" xfId="1" applyNumberFormat="1" applyFont="1" applyFill="1" applyBorder="1" applyAlignment="1">
      <alignment vertical="center"/>
    </xf>
    <xf numFmtId="3" fontId="22" fillId="5" borderId="6" xfId="1" applyNumberFormat="1" applyFont="1" applyFill="1" applyBorder="1" applyAlignment="1">
      <alignment vertical="center" wrapText="1" shrinkToFit="1"/>
    </xf>
    <xf numFmtId="49" fontId="22" fillId="2" borderId="6" xfId="1" applyNumberFormat="1" applyFont="1" applyFill="1" applyBorder="1" applyAlignment="1">
      <alignment vertical="center" wrapText="1" shrinkToFit="1"/>
    </xf>
    <xf numFmtId="3" fontId="22" fillId="0" borderId="6" xfId="1" applyNumberFormat="1" applyFont="1" applyBorder="1" applyAlignment="1">
      <alignment horizontal="center" vertical="center" shrinkToFit="1"/>
    </xf>
    <xf numFmtId="2" fontId="22" fillId="0" borderId="6" xfId="1" applyNumberFormat="1" applyFont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/>
    </xf>
    <xf numFmtId="164" fontId="26" fillId="4" borderId="1" xfId="1" applyNumberFormat="1" applyFont="1" applyFill="1" applyBorder="1" applyAlignment="1">
      <alignment horizontal="center" vertical="center" wrapText="1"/>
    </xf>
    <xf numFmtId="0" fontId="17" fillId="4" borderId="8" xfId="1" applyFont="1" applyFill="1" applyBorder="1" applyAlignment="1">
      <alignment horizontal="center" vertical="center"/>
    </xf>
    <xf numFmtId="0" fontId="22" fillId="0" borderId="0" xfId="1" applyFont="1"/>
    <xf numFmtId="0" fontId="17" fillId="0" borderId="0" xfId="1" applyFont="1" applyAlignment="1">
      <alignment horizontal="center" vertical="center"/>
    </xf>
    <xf numFmtId="165" fontId="22" fillId="0" borderId="0" xfId="1" applyNumberFormat="1" applyFont="1" applyAlignment="1">
      <alignment horizontal="left"/>
    </xf>
    <xf numFmtId="20" fontId="17" fillId="2" borderId="4" xfId="1" applyNumberFormat="1" applyFont="1" applyFill="1" applyBorder="1" applyAlignment="1">
      <alignment horizontal="center" vertical="center"/>
    </xf>
    <xf numFmtId="0" fontId="0" fillId="2" borderId="0" xfId="1" applyFont="1" applyFill="1" applyAlignment="1">
      <alignment vertical="center"/>
    </xf>
    <xf numFmtId="49" fontId="22" fillId="5" borderId="6" xfId="5" applyNumberFormat="1" applyFont="1" applyFill="1" applyBorder="1" applyAlignment="1">
      <alignment horizontal="left" vertical="center" wrapText="1" shrinkToFit="1"/>
    </xf>
    <xf numFmtId="0" fontId="24" fillId="5" borderId="4" xfId="5" applyFont="1" applyFill="1" applyBorder="1" applyAlignment="1">
      <alignment horizontal="center" vertical="center" wrapText="1" shrinkToFit="1"/>
    </xf>
    <xf numFmtId="49" fontId="24" fillId="5" borderId="4" xfId="5" applyNumberFormat="1" applyFont="1" applyFill="1" applyBorder="1" applyAlignment="1">
      <alignment horizontal="center" vertical="center" wrapText="1" shrinkToFit="1"/>
    </xf>
    <xf numFmtId="2" fontId="24" fillId="5" borderId="4" xfId="3" applyNumberFormat="1" applyFont="1" applyFill="1" applyBorder="1" applyAlignment="1">
      <alignment horizontal="center" vertical="center" wrapText="1" shrinkToFit="1"/>
    </xf>
    <xf numFmtId="49" fontId="23" fillId="5" borderId="6" xfId="3" applyNumberFormat="1" applyFont="1" applyFill="1" applyBorder="1" applyAlignment="1">
      <alignment horizontal="left" vertical="center" wrapText="1" shrinkToFit="1"/>
    </xf>
    <xf numFmtId="49" fontId="22" fillId="2" borderId="4" xfId="5" applyNumberFormat="1" applyFont="1" applyFill="1" applyBorder="1" applyAlignment="1">
      <alignment horizontal="center" vertical="center" wrapText="1" shrinkToFit="1"/>
    </xf>
    <xf numFmtId="49" fontId="31" fillId="2" borderId="6" xfId="1" applyNumberFormat="1" applyFont="1" applyFill="1" applyBorder="1" applyAlignment="1">
      <alignment horizontal="left" vertical="center" wrapText="1" shrinkToFit="1"/>
    </xf>
    <xf numFmtId="0" fontId="23" fillId="2" borderId="5" xfId="1" applyFont="1" applyFill="1" applyBorder="1" applyAlignment="1">
      <alignment horizontal="center" vertical="center" wrapText="1" shrinkToFit="1"/>
    </xf>
    <xf numFmtId="49" fontId="31" fillId="2" borderId="4" xfId="1" applyNumberFormat="1" applyFont="1" applyFill="1" applyBorder="1" applyAlignment="1">
      <alignment horizontal="center" vertical="center" wrapText="1" shrinkToFit="1"/>
    </xf>
    <xf numFmtId="2" fontId="31" fillId="2" borderId="6" xfId="1" applyNumberFormat="1" applyFont="1" applyFill="1" applyBorder="1" applyAlignment="1">
      <alignment horizontal="center" vertical="center" wrapText="1"/>
    </xf>
    <xf numFmtId="49" fontId="30" fillId="2" borderId="6" xfId="3" applyNumberFormat="1" applyFont="1" applyFill="1" applyBorder="1" applyAlignment="1">
      <alignment horizontal="left" vertical="center" wrapText="1" shrinkToFit="1"/>
    </xf>
    <xf numFmtId="20" fontId="17" fillId="2" borderId="6" xfId="1" applyNumberFormat="1" applyFont="1" applyFill="1" applyBorder="1" applyAlignment="1">
      <alignment horizontal="center" vertical="center" wrapText="1"/>
    </xf>
    <xf numFmtId="20" fontId="17" fillId="2" borderId="6" xfId="1" applyNumberFormat="1" applyFont="1" applyFill="1" applyBorder="1" applyAlignment="1">
      <alignment horizontal="center" vertical="center"/>
    </xf>
    <xf numFmtId="49" fontId="33" fillId="5" borderId="6" xfId="3" applyNumberFormat="1" applyFont="1" applyFill="1" applyBorder="1" applyAlignment="1">
      <alignment horizontal="left" vertical="center" wrapText="1" shrinkToFit="1"/>
    </xf>
    <xf numFmtId="164" fontId="33" fillId="5" borderId="4" xfId="4" applyFont="1" applyFill="1" applyBorder="1" applyAlignment="1">
      <alignment vertical="center"/>
    </xf>
    <xf numFmtId="2" fontId="31" fillId="2" borderId="4" xfId="3" applyNumberFormat="1" applyFont="1" applyFill="1" applyBorder="1" applyAlignment="1">
      <alignment horizontal="center" vertical="center" wrapText="1" shrinkToFit="1"/>
    </xf>
    <xf numFmtId="2" fontId="22" fillId="5" borderId="4" xfId="3" applyNumberFormat="1" applyFont="1" applyFill="1" applyBorder="1" applyAlignment="1">
      <alignment horizontal="center" vertical="center" wrapText="1" shrinkToFit="1"/>
    </xf>
    <xf numFmtId="14" fontId="17" fillId="5" borderId="6" xfId="1" applyNumberFormat="1" applyFont="1" applyFill="1" applyBorder="1" applyAlignment="1">
      <alignment vertical="top"/>
    </xf>
    <xf numFmtId="49" fontId="22" fillId="5" borderId="4" xfId="5" applyNumberFormat="1" applyFont="1" applyFill="1" applyBorder="1" applyAlignment="1">
      <alignment horizontal="center" vertical="center" wrapText="1" shrinkToFit="1"/>
    </xf>
    <xf numFmtId="49" fontId="22" fillId="0" borderId="5" xfId="1" applyNumberFormat="1" applyFont="1" applyBorder="1" applyAlignment="1">
      <alignment horizontal="left" vertical="center" wrapText="1" shrinkToFit="1"/>
    </xf>
    <xf numFmtId="0" fontId="22" fillId="0" borderId="4" xfId="1" applyFont="1" applyBorder="1" applyAlignment="1">
      <alignment horizontal="center" vertical="center" shrinkToFit="1"/>
    </xf>
    <xf numFmtId="49" fontId="22" fillId="0" borderId="5" xfId="1" applyNumberFormat="1" applyFont="1" applyBorder="1" applyAlignment="1">
      <alignment horizontal="center" vertical="center" wrapText="1" shrinkToFit="1"/>
    </xf>
    <xf numFmtId="2" fontId="22" fillId="0" borderId="5" xfId="3" applyNumberFormat="1" applyFont="1" applyFill="1" applyBorder="1" applyAlignment="1">
      <alignment horizontal="center" vertical="center" wrapText="1" shrinkToFit="1"/>
    </xf>
    <xf numFmtId="2" fontId="22" fillId="0" borderId="4" xfId="3" applyNumberFormat="1" applyFont="1" applyFill="1" applyBorder="1" applyAlignment="1">
      <alignment horizontal="center" vertical="center" wrapText="1" shrinkToFit="1"/>
    </xf>
    <xf numFmtId="49" fontId="23" fillId="0" borderId="4" xfId="3" applyNumberFormat="1" applyFont="1" applyFill="1" applyBorder="1" applyAlignment="1">
      <alignment horizontal="left" vertical="center" wrapText="1" shrinkToFit="1"/>
    </xf>
    <xf numFmtId="49" fontId="22" fillId="0" borderId="6" xfId="1" applyNumberFormat="1" applyFont="1" applyBorder="1" applyAlignment="1">
      <alignment horizontal="left" vertical="center" wrapText="1" shrinkToFit="1"/>
    </xf>
    <xf numFmtId="0" fontId="22" fillId="0" borderId="4" xfId="1" applyFont="1" applyBorder="1" applyAlignment="1">
      <alignment horizontal="center" vertical="center" wrapText="1" shrinkToFit="1"/>
    </xf>
    <xf numFmtId="49" fontId="22" fillId="0" borderId="4" xfId="1" applyNumberFormat="1" applyFont="1" applyBorder="1" applyAlignment="1">
      <alignment horizontal="center" vertical="center" wrapText="1" shrinkToFit="1"/>
    </xf>
    <xf numFmtId="49" fontId="23" fillId="0" borderId="6" xfId="3" applyNumberFormat="1" applyFont="1" applyFill="1" applyBorder="1" applyAlignment="1">
      <alignment horizontal="left" vertical="center" wrapText="1" shrinkToFit="1"/>
    </xf>
    <xf numFmtId="49" fontId="22" fillId="0" borderId="6" xfId="5" applyNumberFormat="1" applyFont="1" applyBorder="1" applyAlignment="1">
      <alignment horizontal="left" vertical="center" wrapText="1" shrinkToFit="1"/>
    </xf>
    <xf numFmtId="0" fontId="22" fillId="0" borderId="4" xfId="5" applyFont="1" applyBorder="1" applyAlignment="1">
      <alignment horizontal="center" vertical="center" wrapText="1" shrinkToFit="1"/>
    </xf>
    <xf numFmtId="49" fontId="22" fillId="0" borderId="4" xfId="5" applyNumberFormat="1" applyFont="1" applyBorder="1" applyAlignment="1">
      <alignment horizontal="center" vertical="center" wrapText="1" shrinkToFit="1"/>
    </xf>
    <xf numFmtId="49" fontId="16" fillId="0" borderId="7" xfId="1" applyNumberFormat="1" applyFont="1" applyBorder="1" applyAlignment="1">
      <alignment horizontal="left" vertical="center" wrapText="1" shrinkToFit="1"/>
    </xf>
    <xf numFmtId="2" fontId="24" fillId="0" borderId="6" xfId="3" applyNumberFormat="1" applyFont="1" applyFill="1" applyBorder="1" applyAlignment="1">
      <alignment horizontal="center" vertical="center" wrapText="1" shrinkToFit="1"/>
    </xf>
    <xf numFmtId="0" fontId="0" fillId="0" borderId="6" xfId="0" applyBorder="1"/>
    <xf numFmtId="0" fontId="16" fillId="0" borderId="4" xfId="1" applyFont="1" applyBorder="1" applyAlignment="1">
      <alignment horizontal="left" vertical="center" wrapText="1"/>
    </xf>
    <xf numFmtId="49" fontId="24" fillId="2" borderId="4" xfId="1" applyNumberFormat="1" applyFont="1" applyFill="1" applyBorder="1" applyAlignment="1">
      <alignment horizontal="center" vertical="center" wrapText="1" shrinkToFit="1"/>
    </xf>
    <xf numFmtId="0" fontId="23" fillId="0" borderId="6" xfId="1" applyFont="1" applyBorder="1" applyAlignment="1">
      <alignment horizontal="center" vertical="center" shrinkToFit="1"/>
    </xf>
    <xf numFmtId="49" fontId="23" fillId="0" borderId="5" xfId="1" applyNumberFormat="1" applyFont="1" applyBorder="1" applyAlignment="1">
      <alignment horizontal="center" vertical="center" wrapText="1" shrinkToFit="1"/>
    </xf>
    <xf numFmtId="2" fontId="23" fillId="0" borderId="5" xfId="3" applyNumberFormat="1" applyFont="1" applyFill="1" applyBorder="1" applyAlignment="1">
      <alignment horizontal="center" vertical="center" wrapText="1" shrinkToFit="1"/>
    </xf>
    <xf numFmtId="0" fontId="23" fillId="0" borderId="4" xfId="1" applyFont="1" applyBorder="1" applyAlignment="1">
      <alignment horizontal="center" vertical="center" shrinkToFit="1"/>
    </xf>
    <xf numFmtId="20" fontId="17" fillId="5" borderId="4" xfId="1" applyNumberFormat="1" applyFont="1" applyFill="1" applyBorder="1" applyAlignment="1">
      <alignment horizontal="left" vertical="center"/>
    </xf>
    <xf numFmtId="3" fontId="24" fillId="0" borderId="6" xfId="1" applyNumberFormat="1" applyFont="1" applyBorder="1" applyAlignment="1">
      <alignment horizontal="center" vertical="center" shrinkToFit="1"/>
    </xf>
    <xf numFmtId="2" fontId="24" fillId="0" borderId="6" xfId="1" applyNumberFormat="1" applyFont="1" applyBorder="1" applyAlignment="1">
      <alignment horizontal="center" vertical="center"/>
    </xf>
    <xf numFmtId="14" fontId="2" fillId="5" borderId="6" xfId="1" applyNumberFormat="1" applyFont="1" applyFill="1" applyBorder="1" applyAlignment="1">
      <alignment vertical="top"/>
    </xf>
    <xf numFmtId="49" fontId="22" fillId="0" borderId="5" xfId="5" applyNumberFormat="1" applyFont="1" applyBorder="1" applyAlignment="1">
      <alignment horizontal="center" vertical="center" wrapText="1" shrinkToFit="1"/>
    </xf>
    <xf numFmtId="49" fontId="17" fillId="5" borderId="6" xfId="3" applyNumberFormat="1" applyFont="1" applyFill="1" applyBorder="1" applyAlignment="1">
      <alignment horizontal="left" vertical="center" wrapText="1" shrinkToFit="1"/>
    </xf>
    <xf numFmtId="49" fontId="22" fillId="0" borderId="6" xfId="5" applyNumberFormat="1" applyFont="1" applyFill="1" applyBorder="1" applyAlignment="1">
      <alignment horizontal="left" vertical="center" wrapText="1" shrinkToFit="1"/>
    </xf>
    <xf numFmtId="49" fontId="24" fillId="0" borderId="4" xfId="5" applyNumberFormat="1" applyFont="1" applyBorder="1" applyAlignment="1">
      <alignment horizontal="center" vertical="center" wrapText="1" shrinkToFit="1"/>
    </xf>
    <xf numFmtId="2" fontId="24" fillId="0" borderId="4" xfId="3" applyNumberFormat="1" applyFont="1" applyFill="1" applyBorder="1" applyAlignment="1">
      <alignment horizontal="center" vertical="center" wrapText="1" shrinkToFit="1"/>
    </xf>
    <xf numFmtId="49" fontId="23" fillId="0" borderId="4" xfId="5" applyNumberFormat="1" applyFont="1" applyBorder="1" applyAlignment="1">
      <alignment horizontal="center" vertical="center" wrapText="1" shrinkToFit="1"/>
    </xf>
    <xf numFmtId="20" fontId="17" fillId="0" borderId="6" xfId="1" applyNumberFormat="1" applyFont="1" applyBorder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3" fillId="2" borderId="0" xfId="1" applyFill="1" applyAlignment="1">
      <alignment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20" fontId="17" fillId="0" borderId="9" xfId="1" applyNumberFormat="1" applyFont="1" applyBorder="1" applyAlignment="1">
      <alignment horizontal="center" vertical="center" wrapText="1"/>
    </xf>
    <xf numFmtId="20" fontId="17" fillId="0" borderId="13" xfId="1" applyNumberFormat="1" applyFont="1" applyBorder="1" applyAlignment="1">
      <alignment horizontal="center" vertical="center" wrapText="1"/>
    </xf>
    <xf numFmtId="20" fontId="17" fillId="0" borderId="4" xfId="1" applyNumberFormat="1" applyFont="1" applyBorder="1" applyAlignment="1">
      <alignment horizontal="center" vertical="center" wrapText="1"/>
    </xf>
    <xf numFmtId="20" fontId="17" fillId="0" borderId="9" xfId="1" applyNumberFormat="1" applyFont="1" applyBorder="1" applyAlignment="1">
      <alignment horizontal="center" vertical="center"/>
    </xf>
    <xf numFmtId="20" fontId="17" fillId="0" borderId="13" xfId="1" applyNumberFormat="1" applyFont="1" applyBorder="1" applyAlignment="1">
      <alignment horizontal="center" vertical="center"/>
    </xf>
    <xf numFmtId="20" fontId="17" fillId="0" borderId="4" xfId="1" applyNumberFormat="1" applyFont="1" applyBorder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23" fillId="2" borderId="0" xfId="1" applyFont="1" applyFill="1" applyAlignment="1">
      <alignment vertical="center"/>
    </xf>
    <xf numFmtId="0" fontId="0" fillId="2" borderId="0" xfId="1" applyFont="1" applyFill="1" applyAlignment="1">
      <alignment vertical="center"/>
    </xf>
    <xf numFmtId="49" fontId="23" fillId="2" borderId="12" xfId="3" applyNumberFormat="1" applyFont="1" applyFill="1" applyBorder="1" applyAlignment="1">
      <alignment horizontal="left" vertical="center" wrapText="1" shrinkToFit="1"/>
    </xf>
    <xf numFmtId="49" fontId="23" fillId="2" borderId="4" xfId="3" applyNumberFormat="1" applyFont="1" applyFill="1" applyBorder="1" applyAlignment="1">
      <alignment horizontal="left" vertical="center" wrapText="1" shrinkToFit="1"/>
    </xf>
    <xf numFmtId="20" fontId="17" fillId="2" borderId="9" xfId="1" applyNumberFormat="1" applyFont="1" applyFill="1" applyBorder="1" applyAlignment="1">
      <alignment horizontal="center" vertical="center" wrapText="1"/>
    </xf>
    <xf numFmtId="20" fontId="17" fillId="2" borderId="4" xfId="1" applyNumberFormat="1" applyFont="1" applyFill="1" applyBorder="1" applyAlignment="1">
      <alignment horizontal="center" vertical="center"/>
    </xf>
    <xf numFmtId="20" fontId="17" fillId="2" borderId="4" xfId="1" applyNumberFormat="1" applyFont="1" applyFill="1" applyBorder="1" applyAlignment="1">
      <alignment horizontal="center" vertical="center" wrapText="1"/>
    </xf>
  </cellXfs>
  <cellStyles count="6">
    <cellStyle name="Currency 2" xfId="4" xr:uid="{00000000-0005-0000-0000-000001000000}"/>
    <cellStyle name="Normal 2" xfId="1" xr:uid="{00000000-0005-0000-0000-000004000000}"/>
    <cellStyle name="Normal 2 2" xfId="5" xr:uid="{00000000-0005-0000-0000-000005000000}"/>
    <cellStyle name="Гиперссылка" xfId="2" builtinId="8"/>
    <cellStyle name="Обычный" xfId="0" builtinId="0"/>
    <cellStyle name="Финансовый 2" xfId="3" xr:uid="{00000000-0005-0000-0000-000006000000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300403</xdr:colOff>
      <xdr:row>3</xdr:row>
      <xdr:rowOff>130339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9178" cy="7018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328979</xdr:colOff>
      <xdr:row>3</xdr:row>
      <xdr:rowOff>130339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3DFE6C-B824-4CCC-8AC3-C03686EE6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2529" cy="6732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314691</xdr:colOff>
      <xdr:row>3</xdr:row>
      <xdr:rowOff>130339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3466" cy="7018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328979</xdr:colOff>
      <xdr:row>3</xdr:row>
      <xdr:rowOff>130339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E7C9E4-7A26-4B50-900D-2CB9F02D2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2529" cy="6732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343267</xdr:colOff>
      <xdr:row>3</xdr:row>
      <xdr:rowOff>130339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10832-7842-4B69-926C-1DA3CBDF5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6817" cy="673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57"/>
  <sheetViews>
    <sheetView topLeftCell="A29" zoomScaleNormal="100" workbookViewId="0">
      <selection activeCell="B42" sqref="B42"/>
    </sheetView>
  </sheetViews>
  <sheetFormatPr defaultColWidth="9.109375" defaultRowHeight="14.4"/>
  <cols>
    <col min="1" max="1" width="24.44140625" style="1" customWidth="1"/>
    <col min="2" max="2" width="38.44140625" style="1" customWidth="1"/>
    <col min="3" max="3" width="7.44140625" style="1" bestFit="1" customWidth="1"/>
    <col min="4" max="4" width="12" style="1" bestFit="1" customWidth="1"/>
    <col min="5" max="5" width="28.6640625" style="1" bestFit="1" customWidth="1"/>
    <col min="6" max="6" width="17.109375" style="1" customWidth="1"/>
    <col min="7" max="7" width="52.44140625" style="1" customWidth="1"/>
    <col min="8" max="16384" width="9.109375" style="1"/>
  </cols>
  <sheetData>
    <row r="3" spans="1:7">
      <c r="D3" s="2" t="s">
        <v>0</v>
      </c>
      <c r="E3" s="3" t="s">
        <v>1</v>
      </c>
    </row>
    <row r="4" spans="1:7">
      <c r="D4" s="2" t="s">
        <v>2</v>
      </c>
      <c r="E4" s="4" t="s">
        <v>3</v>
      </c>
    </row>
    <row r="5" spans="1:7">
      <c r="A5" s="199" t="s">
        <v>4</v>
      </c>
      <c r="B5" s="200"/>
      <c r="C5" s="200"/>
      <c r="D5" s="2"/>
      <c r="E5" s="3"/>
      <c r="F5" s="6"/>
      <c r="G5" s="6"/>
    </row>
    <row r="6" spans="1:7">
      <c r="A6" s="200" t="s">
        <v>5</v>
      </c>
      <c r="B6" s="200"/>
      <c r="C6" s="200"/>
      <c r="D6" s="2"/>
      <c r="E6" s="4"/>
      <c r="F6" s="6"/>
      <c r="G6" s="6"/>
    </row>
    <row r="7" spans="1:7">
      <c r="A7" s="5" t="s">
        <v>6</v>
      </c>
      <c r="B7" s="7"/>
      <c r="C7" s="5"/>
      <c r="D7" s="6"/>
      <c r="E7" s="6"/>
      <c r="F7" s="5"/>
      <c r="G7" s="6"/>
    </row>
    <row r="8" spans="1:7">
      <c r="A8" s="200" t="s">
        <v>7</v>
      </c>
      <c r="B8" s="200"/>
      <c r="C8" s="200"/>
      <c r="D8" s="6"/>
      <c r="E8" s="6"/>
      <c r="F8" s="5"/>
      <c r="G8" s="6"/>
    </row>
    <row r="9" spans="1:7">
      <c r="A9" s="8" t="s">
        <v>8</v>
      </c>
      <c r="B9" s="9"/>
      <c r="C9" s="9"/>
      <c r="D9" s="9"/>
      <c r="E9" s="9"/>
      <c r="F9" s="10"/>
      <c r="G9" s="9"/>
    </row>
    <row r="10" spans="1:7" ht="15" thickBot="1">
      <c r="A10" s="11" t="s">
        <v>9</v>
      </c>
      <c r="B10" s="12"/>
      <c r="C10" s="13"/>
      <c r="D10" s="14"/>
      <c r="E10" s="15"/>
      <c r="F10" s="16"/>
      <c r="G10" s="12"/>
    </row>
    <row r="11" spans="1:7" ht="29.4" thickBot="1">
      <c r="A11" s="17" t="s">
        <v>10</v>
      </c>
      <c r="B11" s="18" t="s">
        <v>11</v>
      </c>
      <c r="C11" s="19" t="s">
        <v>12</v>
      </c>
      <c r="D11" s="20" t="s">
        <v>13</v>
      </c>
      <c r="E11" s="21" t="s">
        <v>14</v>
      </c>
      <c r="F11" s="22" t="s">
        <v>15</v>
      </c>
      <c r="G11" s="23" t="s">
        <v>16</v>
      </c>
    </row>
    <row r="12" spans="1:7">
      <c r="A12" s="24" t="s">
        <v>1</v>
      </c>
      <c r="B12" s="25"/>
      <c r="C12" s="26"/>
      <c r="D12" s="27"/>
      <c r="E12" s="28"/>
      <c r="F12" s="29"/>
      <c r="G12" s="30"/>
    </row>
    <row r="13" spans="1:7" ht="28.8">
      <c r="A13" s="31"/>
      <c r="B13" s="32" t="s">
        <v>17</v>
      </c>
      <c r="C13" s="33">
        <v>0</v>
      </c>
      <c r="D13" s="34" t="s">
        <v>18</v>
      </c>
      <c r="E13" s="35">
        <v>1172</v>
      </c>
      <c r="F13" s="36">
        <f>C13*D13*E13</f>
        <v>0</v>
      </c>
      <c r="G13" s="37" t="s">
        <v>19</v>
      </c>
    </row>
    <row r="14" spans="1:7" ht="28.8">
      <c r="A14" s="32"/>
      <c r="B14" s="32" t="s">
        <v>20</v>
      </c>
      <c r="C14" s="33">
        <v>20</v>
      </c>
      <c r="D14" s="34" t="s">
        <v>18</v>
      </c>
      <c r="E14" s="35">
        <v>1120</v>
      </c>
      <c r="F14" s="36">
        <f>C14*D14*E14</f>
        <v>67200</v>
      </c>
      <c r="G14" s="37" t="s">
        <v>19</v>
      </c>
    </row>
    <row r="15" spans="1:7">
      <c r="A15" s="24" t="s">
        <v>21</v>
      </c>
      <c r="B15" s="25"/>
      <c r="C15" s="26"/>
      <c r="D15" s="27"/>
      <c r="E15" s="28"/>
      <c r="F15" s="29">
        <f>SUM(F13:F14)</f>
        <v>67200</v>
      </c>
      <c r="G15" s="30"/>
    </row>
    <row r="16" spans="1:7" ht="28.8">
      <c r="A16" s="38"/>
      <c r="B16" s="63" t="s">
        <v>22</v>
      </c>
      <c r="C16" s="33">
        <v>1</v>
      </c>
      <c r="D16" s="34" t="s">
        <v>23</v>
      </c>
      <c r="E16" s="35">
        <v>0</v>
      </c>
      <c r="F16" s="36">
        <f t="shared" ref="F16:F21" si="0">C16*D16*E16</f>
        <v>0</v>
      </c>
      <c r="G16" s="37" t="s">
        <v>24</v>
      </c>
    </row>
    <row r="17" spans="1:7" ht="28.8">
      <c r="A17" s="38" t="s">
        <v>25</v>
      </c>
      <c r="B17" s="39" t="s">
        <v>26</v>
      </c>
      <c r="C17" s="33">
        <v>1</v>
      </c>
      <c r="D17" s="34" t="s">
        <v>23</v>
      </c>
      <c r="E17" s="35">
        <v>250</v>
      </c>
      <c r="F17" s="36">
        <f t="shared" si="0"/>
        <v>250</v>
      </c>
      <c r="G17" s="37" t="s">
        <v>27</v>
      </c>
    </row>
    <row r="18" spans="1:7" ht="28.8">
      <c r="A18" s="38"/>
      <c r="B18" s="39" t="s">
        <v>28</v>
      </c>
      <c r="C18" s="33">
        <v>1</v>
      </c>
      <c r="D18" s="34" t="s">
        <v>23</v>
      </c>
      <c r="E18" s="35">
        <v>110</v>
      </c>
      <c r="F18" s="36">
        <f t="shared" si="0"/>
        <v>110</v>
      </c>
      <c r="G18" s="37" t="s">
        <v>29</v>
      </c>
    </row>
    <row r="19" spans="1:7" ht="28.8">
      <c r="A19" s="38">
        <v>0.79166666666666663</v>
      </c>
      <c r="B19" s="39" t="s">
        <v>30</v>
      </c>
      <c r="C19" s="33">
        <v>1</v>
      </c>
      <c r="D19" s="34" t="s">
        <v>23</v>
      </c>
      <c r="E19" s="35">
        <v>265</v>
      </c>
      <c r="F19" s="36">
        <f t="shared" si="0"/>
        <v>265</v>
      </c>
      <c r="G19" s="37" t="s">
        <v>31</v>
      </c>
    </row>
    <row r="20" spans="1:7" ht="28.8">
      <c r="A20" s="38" t="s">
        <v>32</v>
      </c>
      <c r="B20" s="41" t="s">
        <v>33</v>
      </c>
      <c r="C20" s="33">
        <v>20</v>
      </c>
      <c r="D20" s="46" t="s">
        <v>23</v>
      </c>
      <c r="E20" s="47">
        <v>83</v>
      </c>
      <c r="F20" s="44">
        <f t="shared" si="0"/>
        <v>1660</v>
      </c>
      <c r="G20" s="69" t="s">
        <v>34</v>
      </c>
    </row>
    <row r="21" spans="1:7" customFormat="1" ht="28.8">
      <c r="A21" s="75"/>
      <c r="B21" s="63" t="s">
        <v>35</v>
      </c>
      <c r="C21" s="33">
        <v>20</v>
      </c>
      <c r="D21" s="66" t="s">
        <v>23</v>
      </c>
      <c r="E21" s="67">
        <v>64</v>
      </c>
      <c r="F21" s="68">
        <f t="shared" si="0"/>
        <v>1280</v>
      </c>
      <c r="G21" s="69" t="s">
        <v>36</v>
      </c>
    </row>
    <row r="22" spans="1:7">
      <c r="A22" s="24" t="s">
        <v>37</v>
      </c>
      <c r="B22" s="24"/>
      <c r="C22" s="24"/>
      <c r="D22" s="24"/>
      <c r="E22" s="24"/>
      <c r="F22" s="49">
        <f>SUM(F16:F21)</f>
        <v>3565</v>
      </c>
      <c r="G22" s="24"/>
    </row>
    <row r="23" spans="1:7">
      <c r="A23" s="50"/>
      <c r="B23" s="51" t="s">
        <v>38</v>
      </c>
      <c r="C23" s="33">
        <v>20</v>
      </c>
      <c r="D23" s="52">
        <v>1</v>
      </c>
      <c r="E23" s="53">
        <v>0</v>
      </c>
      <c r="F23" s="36">
        <v>0</v>
      </c>
      <c r="G23" s="48" t="s">
        <v>39</v>
      </c>
    </row>
    <row r="24" spans="1:7" customFormat="1">
      <c r="A24" s="38">
        <v>0.33333333333333331</v>
      </c>
      <c r="B24" s="39" t="s">
        <v>40</v>
      </c>
      <c r="C24" s="72">
        <v>1</v>
      </c>
      <c r="D24" s="42" t="s">
        <v>23</v>
      </c>
      <c r="E24" s="73">
        <v>685</v>
      </c>
      <c r="F24" s="36">
        <f t="shared" ref="F24:F30" si="1">C24*D24*E24</f>
        <v>685</v>
      </c>
      <c r="G24" s="37" t="s">
        <v>41</v>
      </c>
    </row>
    <row r="25" spans="1:7" customFormat="1" ht="28.8">
      <c r="A25" s="75" t="s">
        <v>42</v>
      </c>
      <c r="B25" s="76" t="s">
        <v>43</v>
      </c>
      <c r="C25" s="77">
        <v>20</v>
      </c>
      <c r="D25" s="66" t="s">
        <v>23</v>
      </c>
      <c r="E25" s="67">
        <v>460</v>
      </c>
      <c r="F25" s="68">
        <f t="shared" si="1"/>
        <v>9200</v>
      </c>
      <c r="G25" s="69" t="s">
        <v>44</v>
      </c>
    </row>
    <row r="26" spans="1:7">
      <c r="A26" s="38" t="s">
        <v>45</v>
      </c>
      <c r="B26" s="41" t="s">
        <v>46</v>
      </c>
      <c r="C26" s="33">
        <v>1</v>
      </c>
      <c r="D26" s="46" t="s">
        <v>18</v>
      </c>
      <c r="E26" s="47">
        <v>400</v>
      </c>
      <c r="F26" s="36">
        <f t="shared" si="1"/>
        <v>1200</v>
      </c>
      <c r="G26" s="48" t="s">
        <v>47</v>
      </c>
    </row>
    <row r="27" spans="1:7" customFormat="1" ht="43.2">
      <c r="A27" s="75"/>
      <c r="B27" s="76" t="s">
        <v>48</v>
      </c>
      <c r="C27" s="77">
        <v>20</v>
      </c>
      <c r="D27" s="66" t="s">
        <v>23</v>
      </c>
      <c r="E27" s="67">
        <v>118</v>
      </c>
      <c r="F27" s="68">
        <f t="shared" si="1"/>
        <v>2360</v>
      </c>
      <c r="G27" s="69" t="s">
        <v>49</v>
      </c>
    </row>
    <row r="28" spans="1:7" customFormat="1" ht="28.8">
      <c r="A28" s="75" t="s">
        <v>50</v>
      </c>
      <c r="B28" s="76" t="s">
        <v>51</v>
      </c>
      <c r="C28" s="77">
        <v>2</v>
      </c>
      <c r="D28" s="66" t="s">
        <v>23</v>
      </c>
      <c r="E28" s="67">
        <v>400</v>
      </c>
      <c r="F28" s="68">
        <f t="shared" si="1"/>
        <v>800</v>
      </c>
      <c r="G28" s="69" t="s">
        <v>52</v>
      </c>
    </row>
    <row r="29" spans="1:7" customFormat="1" ht="28.8">
      <c r="A29" s="38">
        <v>0.60416666666666663</v>
      </c>
      <c r="B29" s="79" t="s">
        <v>53</v>
      </c>
      <c r="C29" s="80">
        <v>20</v>
      </c>
      <c r="D29" s="66" t="s">
        <v>23</v>
      </c>
      <c r="E29" s="67">
        <v>0</v>
      </c>
      <c r="F29" s="68">
        <f t="shared" si="1"/>
        <v>0</v>
      </c>
      <c r="G29" s="69" t="s">
        <v>54</v>
      </c>
    </row>
    <row r="30" spans="1:7" ht="28.8">
      <c r="A30" s="38">
        <v>0.85416666666666663</v>
      </c>
      <c r="B30" s="41" t="s">
        <v>55</v>
      </c>
      <c r="C30" s="33">
        <v>20</v>
      </c>
      <c r="D30" s="46" t="s">
        <v>23</v>
      </c>
      <c r="E30" s="47">
        <v>125</v>
      </c>
      <c r="F30" s="36">
        <f t="shared" si="1"/>
        <v>2500</v>
      </c>
      <c r="G30" s="48" t="s">
        <v>56</v>
      </c>
    </row>
    <row r="31" spans="1:7">
      <c r="A31" s="24" t="s">
        <v>57</v>
      </c>
      <c r="B31" s="24"/>
      <c r="C31" s="24"/>
      <c r="D31" s="24"/>
      <c r="E31" s="24"/>
      <c r="F31" s="49">
        <f>SUM(F23:F30)</f>
        <v>16745</v>
      </c>
      <c r="G31" s="24"/>
    </row>
    <row r="32" spans="1:7">
      <c r="A32" s="50"/>
      <c r="B32" s="51" t="s">
        <v>38</v>
      </c>
      <c r="C32" s="33">
        <v>20</v>
      </c>
      <c r="D32" s="52">
        <v>1</v>
      </c>
      <c r="E32" s="53">
        <v>0</v>
      </c>
      <c r="F32" s="36">
        <f>C32*D32*E32</f>
        <v>0</v>
      </c>
      <c r="G32" s="48" t="s">
        <v>39</v>
      </c>
    </row>
    <row r="33" spans="1:7">
      <c r="A33" s="61"/>
      <c r="B33" s="89" t="s">
        <v>58</v>
      </c>
      <c r="C33" s="33">
        <v>1</v>
      </c>
      <c r="D33" s="90">
        <v>1</v>
      </c>
      <c r="E33" s="91">
        <v>1350</v>
      </c>
      <c r="F33" s="36">
        <f>C33*D33*E33</f>
        <v>1350</v>
      </c>
      <c r="G33" s="48" t="s">
        <v>59</v>
      </c>
    </row>
    <row r="34" spans="1:7" ht="28.8">
      <c r="A34" s="38" t="s">
        <v>60</v>
      </c>
      <c r="B34" s="41" t="s">
        <v>61</v>
      </c>
      <c r="C34" s="45">
        <v>20</v>
      </c>
      <c r="D34" s="42" t="s">
        <v>23</v>
      </c>
      <c r="E34" s="43">
        <v>130</v>
      </c>
      <c r="F34" s="36">
        <f t="shared" ref="F34:F40" si="2">C34*D34*E34</f>
        <v>2600</v>
      </c>
      <c r="G34" s="48" t="s">
        <v>62</v>
      </c>
    </row>
    <row r="35" spans="1:7" customFormat="1" ht="28.8">
      <c r="A35" s="38" t="s">
        <v>63</v>
      </c>
      <c r="B35" s="39" t="s">
        <v>64</v>
      </c>
      <c r="C35" s="72">
        <v>1</v>
      </c>
      <c r="D35" s="42" t="s">
        <v>23</v>
      </c>
      <c r="E35" s="73">
        <v>460</v>
      </c>
      <c r="F35" s="36">
        <f t="shared" si="2"/>
        <v>460</v>
      </c>
      <c r="G35" s="37" t="s">
        <v>65</v>
      </c>
    </row>
    <row r="36" spans="1:7" customFormat="1" ht="28.8">
      <c r="A36" s="81" t="s">
        <v>66</v>
      </c>
      <c r="B36" s="39" t="s">
        <v>67</v>
      </c>
      <c r="C36" s="74">
        <v>1</v>
      </c>
      <c r="D36" s="42" t="s">
        <v>23</v>
      </c>
      <c r="E36" s="73">
        <v>0</v>
      </c>
      <c r="F36" s="36">
        <f t="shared" si="2"/>
        <v>0</v>
      </c>
      <c r="G36" s="37"/>
    </row>
    <row r="37" spans="1:7" customFormat="1" ht="28.8">
      <c r="A37" s="87">
        <v>0.73958333333333337</v>
      </c>
      <c r="B37" s="41" t="s">
        <v>68</v>
      </c>
      <c r="C37" s="74">
        <v>1</v>
      </c>
      <c r="D37" s="42" t="s">
        <v>23</v>
      </c>
      <c r="E37" s="73">
        <v>265</v>
      </c>
      <c r="F37" s="36">
        <f t="shared" si="2"/>
        <v>265</v>
      </c>
      <c r="G37" s="37" t="s">
        <v>69</v>
      </c>
    </row>
    <row r="38" spans="1:7" customFormat="1">
      <c r="A38" s="82" t="s">
        <v>70</v>
      </c>
      <c r="B38" s="41" t="s">
        <v>71</v>
      </c>
      <c r="C38" s="74">
        <v>20</v>
      </c>
      <c r="D38" s="42" t="s">
        <v>23</v>
      </c>
      <c r="E38" s="73">
        <v>84</v>
      </c>
      <c r="F38" s="36">
        <f t="shared" si="2"/>
        <v>1680</v>
      </c>
      <c r="G38" s="37" t="s">
        <v>72</v>
      </c>
    </row>
    <row r="39" spans="1:7" ht="43.2">
      <c r="A39" s="38" t="s">
        <v>73</v>
      </c>
      <c r="B39" s="41" t="s">
        <v>74</v>
      </c>
      <c r="C39" s="33">
        <v>20</v>
      </c>
      <c r="D39" s="46" t="s">
        <v>23</v>
      </c>
      <c r="E39" s="47">
        <v>135</v>
      </c>
      <c r="F39" s="36">
        <f t="shared" si="2"/>
        <v>2700</v>
      </c>
      <c r="G39" s="48" t="s">
        <v>75</v>
      </c>
    </row>
    <row r="40" spans="1:7" ht="28.8">
      <c r="A40" s="201" t="s">
        <v>76</v>
      </c>
      <c r="B40" s="64" t="s">
        <v>77</v>
      </c>
      <c r="C40" s="33">
        <v>20</v>
      </c>
      <c r="D40" s="83" t="s">
        <v>78</v>
      </c>
      <c r="E40" s="78">
        <v>200</v>
      </c>
      <c r="F40" s="40">
        <f t="shared" si="2"/>
        <v>0</v>
      </c>
      <c r="G40" s="65"/>
    </row>
    <row r="41" spans="1:7" customFormat="1" ht="28.8">
      <c r="A41" s="202"/>
      <c r="B41" s="63" t="s">
        <v>79</v>
      </c>
      <c r="C41" s="33">
        <v>20</v>
      </c>
      <c r="D41" s="84" t="s">
        <v>78</v>
      </c>
      <c r="E41" s="85">
        <v>90</v>
      </c>
      <c r="F41" s="86">
        <f>C41*D41*E41</f>
        <v>0</v>
      </c>
      <c r="G41" s="69" t="s">
        <v>80</v>
      </c>
    </row>
    <row r="42" spans="1:7" customFormat="1" ht="28.8">
      <c r="A42" s="82"/>
      <c r="B42" s="88" t="s">
        <v>81</v>
      </c>
      <c r="C42" s="33">
        <v>1</v>
      </c>
      <c r="D42" s="66" t="s">
        <v>78</v>
      </c>
      <c r="E42" s="67">
        <v>0</v>
      </c>
      <c r="F42" s="70">
        <v>0</v>
      </c>
      <c r="G42" s="71"/>
    </row>
    <row r="43" spans="1:7">
      <c r="A43" s="24" t="s">
        <v>82</v>
      </c>
      <c r="B43" s="24"/>
      <c r="C43" s="24"/>
      <c r="D43" s="24"/>
      <c r="E43" s="24"/>
      <c r="F43" s="49">
        <f>SUM(F32:F41)</f>
        <v>9055</v>
      </c>
      <c r="G43" s="24"/>
    </row>
    <row r="44" spans="1:7">
      <c r="A44" s="50"/>
      <c r="B44" s="51" t="s">
        <v>38</v>
      </c>
      <c r="C44" s="33">
        <v>20</v>
      </c>
      <c r="D44" s="52">
        <v>1</v>
      </c>
      <c r="E44" s="53">
        <v>0</v>
      </c>
      <c r="F44" s="36">
        <f>C44*D44*E44</f>
        <v>0</v>
      </c>
      <c r="G44" s="48" t="s">
        <v>39</v>
      </c>
    </row>
    <row r="45" spans="1:7">
      <c r="A45" s="61"/>
      <c r="B45" s="51" t="s">
        <v>83</v>
      </c>
      <c r="C45" s="33">
        <v>20</v>
      </c>
      <c r="D45" s="62">
        <v>1</v>
      </c>
      <c r="E45" s="53">
        <v>0</v>
      </c>
      <c r="F45" s="36">
        <f>C45*D45*E45</f>
        <v>0</v>
      </c>
      <c r="G45" s="48"/>
    </row>
    <row r="46" spans="1:7">
      <c r="A46" s="38"/>
      <c r="B46" s="39" t="s">
        <v>84</v>
      </c>
      <c r="C46" s="33">
        <v>1</v>
      </c>
      <c r="D46" s="34" t="s">
        <v>23</v>
      </c>
      <c r="E46" s="35">
        <v>265</v>
      </c>
      <c r="F46" s="36">
        <f>C46*D46*E46</f>
        <v>265</v>
      </c>
      <c r="G46" s="37" t="s">
        <v>85</v>
      </c>
    </row>
    <row r="47" spans="1:7" ht="15" thickBot="1">
      <c r="A47" s="24"/>
      <c r="B47" s="24"/>
      <c r="C47" s="24"/>
      <c r="D47" s="24"/>
      <c r="E47" s="24"/>
      <c r="F47" s="49">
        <f>SUM(F44:F46)</f>
        <v>265</v>
      </c>
      <c r="G47" s="24"/>
    </row>
    <row r="48" spans="1:7" ht="15" thickBot="1">
      <c r="A48" s="54"/>
      <c r="B48" s="18" t="s">
        <v>86</v>
      </c>
      <c r="C48" s="19"/>
      <c r="D48" s="20"/>
      <c r="E48" s="21"/>
      <c r="F48" s="55">
        <f>F15+F22+F31+F43+F47</f>
        <v>96830</v>
      </c>
      <c r="G48" s="56"/>
    </row>
    <row r="49" spans="1:7" ht="15" thickBot="1">
      <c r="A49" s="54"/>
      <c r="B49" s="18" t="s">
        <v>87</v>
      </c>
      <c r="C49" s="19"/>
      <c r="D49" s="20"/>
      <c r="E49" s="21"/>
      <c r="F49" s="22">
        <f>SUM(F48:F48)</f>
        <v>96830</v>
      </c>
      <c r="G49" s="56"/>
    </row>
    <row r="50" spans="1:7" ht="15" thickBot="1">
      <c r="A50" s="54"/>
      <c r="B50" s="18" t="s">
        <v>88</v>
      </c>
      <c r="C50" s="19"/>
      <c r="D50" s="20"/>
      <c r="E50" s="21"/>
      <c r="F50" s="57">
        <f>F49/20</f>
        <v>4841.5</v>
      </c>
      <c r="G50" s="56"/>
    </row>
    <row r="53" spans="1:7">
      <c r="A53" s="58" t="s">
        <v>89</v>
      </c>
      <c r="B53" s="6"/>
      <c r="C53" s="6"/>
      <c r="D53" s="6"/>
      <c r="E53" s="6"/>
      <c r="F53" s="6"/>
      <c r="G53" s="6"/>
    </row>
    <row r="54" spans="1:7">
      <c r="A54" s="200" t="s">
        <v>90</v>
      </c>
      <c r="B54" s="200"/>
      <c r="C54" s="200"/>
      <c r="D54" s="200"/>
      <c r="E54" s="200"/>
      <c r="F54" s="200"/>
    </row>
    <row r="55" spans="1:7">
      <c r="A55" s="5" t="s">
        <v>91</v>
      </c>
      <c r="B55" s="5"/>
      <c r="C55" s="5"/>
      <c r="D55" s="5"/>
      <c r="E55" s="5"/>
      <c r="F55" s="59"/>
    </row>
    <row r="56" spans="1:7">
      <c r="A56" s="2" t="s">
        <v>92</v>
      </c>
      <c r="B56" s="6"/>
      <c r="C56" s="60"/>
      <c r="D56" s="6"/>
      <c r="E56" s="6"/>
      <c r="F56" s="6"/>
    </row>
    <row r="57" spans="1:7">
      <c r="A57" s="2" t="s">
        <v>93</v>
      </c>
      <c r="B57" s="6"/>
      <c r="C57" s="60"/>
      <c r="D57" s="6"/>
      <c r="E57" s="6"/>
      <c r="F57" s="6"/>
    </row>
  </sheetData>
  <mergeCells count="5">
    <mergeCell ref="A5:C5"/>
    <mergeCell ref="A6:C6"/>
    <mergeCell ref="A8:C8"/>
    <mergeCell ref="A54:F54"/>
    <mergeCell ref="A40:A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FC70-632D-4383-8DDF-32F2B99B2CBF}">
  <dimension ref="A2:G94"/>
  <sheetViews>
    <sheetView tabSelected="1" topLeftCell="A69" zoomScaleNormal="100" workbookViewId="0">
      <selection activeCell="B1" sqref="B1"/>
    </sheetView>
  </sheetViews>
  <sheetFormatPr defaultColWidth="9.109375" defaultRowHeight="14.4"/>
  <cols>
    <col min="1" max="1" width="24.44140625" style="1" customWidth="1"/>
    <col min="2" max="2" width="38.5546875" style="1" customWidth="1"/>
    <col min="3" max="3" width="7.44140625" style="1" bestFit="1" customWidth="1"/>
    <col min="4" max="4" width="13.5546875" style="1" customWidth="1"/>
    <col min="5" max="5" width="28.6640625" style="1" bestFit="1" customWidth="1"/>
    <col min="6" max="6" width="28.6640625" style="1" customWidth="1"/>
    <col min="7" max="7" width="52.5546875" style="1" customWidth="1"/>
    <col min="8" max="16384" width="9.109375" style="1"/>
  </cols>
  <sheetData>
    <row r="2" spans="1:7">
      <c r="D2" s="2"/>
      <c r="E2" s="92"/>
    </row>
    <row r="3" spans="1:7">
      <c r="D3" s="2"/>
      <c r="E3" s="4"/>
      <c r="F3" s="3"/>
    </row>
    <row r="4" spans="1:7">
      <c r="D4" s="3"/>
      <c r="E4" s="4"/>
      <c r="F4" s="4"/>
    </row>
    <row r="5" spans="1:7">
      <c r="A5" s="209" t="s">
        <v>268</v>
      </c>
      <c r="B5" s="209"/>
      <c r="C5" s="209"/>
      <c r="D5" s="3" t="s">
        <v>94</v>
      </c>
      <c r="E5" s="3" t="s">
        <v>262</v>
      </c>
      <c r="F5" s="3"/>
      <c r="G5" s="115"/>
    </row>
    <row r="6" spans="1:7">
      <c r="A6" s="210" t="s">
        <v>104</v>
      </c>
      <c r="B6" s="210"/>
      <c r="C6" s="210"/>
      <c r="D6" s="3" t="s">
        <v>2</v>
      </c>
      <c r="E6" s="4" t="s">
        <v>263</v>
      </c>
      <c r="F6" s="116"/>
      <c r="G6" s="115"/>
    </row>
    <row r="7" spans="1:7">
      <c r="A7" s="146" t="s">
        <v>107</v>
      </c>
      <c r="B7" s="117"/>
      <c r="C7" s="113"/>
      <c r="D7" s="3"/>
      <c r="E7" s="3"/>
      <c r="F7" s="3"/>
      <c r="G7" s="115"/>
    </row>
    <row r="8" spans="1:7">
      <c r="A8" s="211" t="s">
        <v>108</v>
      </c>
      <c r="B8" s="210"/>
      <c r="C8" s="210"/>
      <c r="D8" s="114"/>
      <c r="E8" s="4"/>
      <c r="F8" s="116"/>
      <c r="G8" s="115"/>
    </row>
    <row r="9" spans="1:7">
      <c r="A9" s="118" t="s">
        <v>105</v>
      </c>
      <c r="B9" s="119"/>
      <c r="C9" s="119"/>
      <c r="D9" s="119"/>
      <c r="E9" s="119"/>
      <c r="F9" s="119"/>
      <c r="G9" s="119"/>
    </row>
    <row r="10" spans="1:7" ht="15" thickBot="1">
      <c r="A10" s="120" t="s">
        <v>106</v>
      </c>
      <c r="B10" s="142"/>
      <c r="C10" s="143"/>
      <c r="D10" s="120"/>
      <c r="E10" s="144"/>
      <c r="F10" s="144"/>
      <c r="G10" s="142"/>
    </row>
    <row r="11" spans="1:7" ht="29.4" thickBot="1">
      <c r="A11" s="121" t="s">
        <v>10</v>
      </c>
      <c r="B11" s="122" t="s">
        <v>11</v>
      </c>
      <c r="C11" s="123" t="s">
        <v>12</v>
      </c>
      <c r="D11" s="124" t="s">
        <v>13</v>
      </c>
      <c r="E11" s="125" t="s">
        <v>14</v>
      </c>
      <c r="F11" s="126" t="s">
        <v>15</v>
      </c>
      <c r="G11" s="127" t="s">
        <v>16</v>
      </c>
    </row>
    <row r="12" spans="1:7">
      <c r="A12" s="128"/>
      <c r="B12" s="128" t="s">
        <v>109</v>
      </c>
      <c r="C12" s="98">
        <v>10</v>
      </c>
      <c r="D12" s="103" t="s">
        <v>18</v>
      </c>
      <c r="E12" s="129">
        <v>240</v>
      </c>
      <c r="F12" s="111">
        <f>C12*D12*E12</f>
        <v>7200</v>
      </c>
      <c r="G12" s="212" t="s">
        <v>95</v>
      </c>
    </row>
    <row r="13" spans="1:7">
      <c r="A13" s="128"/>
      <c r="B13" s="128" t="s">
        <v>260</v>
      </c>
      <c r="C13" s="98">
        <v>75</v>
      </c>
      <c r="D13" s="103" t="s">
        <v>18</v>
      </c>
      <c r="E13" s="129">
        <v>253</v>
      </c>
      <c r="F13" s="111">
        <f>C13*D13*E13</f>
        <v>56925</v>
      </c>
      <c r="G13" s="213"/>
    </row>
    <row r="14" spans="1:7">
      <c r="A14" s="130" t="s">
        <v>269</v>
      </c>
      <c r="B14" s="131"/>
      <c r="C14" s="132"/>
      <c r="D14" s="133"/>
      <c r="E14" s="134"/>
      <c r="F14" s="29">
        <f>SUM(F12:F13)</f>
        <v>64125</v>
      </c>
      <c r="G14" s="135"/>
    </row>
    <row r="15" spans="1:7" ht="28.8">
      <c r="A15" s="97"/>
      <c r="B15" s="95" t="s">
        <v>96</v>
      </c>
      <c r="C15" s="98">
        <v>2</v>
      </c>
      <c r="D15" s="99" t="s">
        <v>23</v>
      </c>
      <c r="E15" s="100">
        <v>0</v>
      </c>
      <c r="F15" s="101">
        <f t="shared" ref="F15:F29" si="0">C15*D15*E15</f>
        <v>0</v>
      </c>
      <c r="G15" s="96" t="s">
        <v>97</v>
      </c>
    </row>
    <row r="16" spans="1:7">
      <c r="A16" s="97"/>
      <c r="B16" s="105" t="s">
        <v>228</v>
      </c>
      <c r="C16" s="109">
        <v>3</v>
      </c>
      <c r="D16" s="152" t="s">
        <v>23</v>
      </c>
      <c r="E16" s="104">
        <v>295</v>
      </c>
      <c r="F16" s="104">
        <f t="shared" si="0"/>
        <v>885</v>
      </c>
      <c r="G16" s="96" t="s">
        <v>101</v>
      </c>
    </row>
    <row r="17" spans="1:7">
      <c r="A17" s="97"/>
      <c r="B17" s="95" t="s">
        <v>98</v>
      </c>
      <c r="C17" s="102">
        <v>3</v>
      </c>
      <c r="D17" s="183" t="s">
        <v>78</v>
      </c>
      <c r="E17" s="107">
        <v>130</v>
      </c>
      <c r="F17" s="107">
        <f>C17*D17*E17</f>
        <v>0</v>
      </c>
      <c r="G17" s="96" t="s">
        <v>99</v>
      </c>
    </row>
    <row r="18" spans="1:7">
      <c r="A18" s="97"/>
      <c r="B18" s="105" t="s">
        <v>227</v>
      </c>
      <c r="C18" s="109">
        <v>1</v>
      </c>
      <c r="D18" s="106" t="s">
        <v>78</v>
      </c>
      <c r="E18" s="107">
        <v>230</v>
      </c>
      <c r="F18" s="107">
        <f t="shared" si="0"/>
        <v>0</v>
      </c>
      <c r="G18" s="96" t="s">
        <v>101</v>
      </c>
    </row>
    <row r="19" spans="1:7" ht="28.8">
      <c r="A19" s="97"/>
      <c r="B19" s="105" t="s">
        <v>226</v>
      </c>
      <c r="C19" s="109">
        <v>1</v>
      </c>
      <c r="D19" s="106" t="s">
        <v>78</v>
      </c>
      <c r="E19" s="107">
        <v>115</v>
      </c>
      <c r="F19" s="107">
        <f t="shared" si="0"/>
        <v>0</v>
      </c>
      <c r="G19" s="96" t="s">
        <v>101</v>
      </c>
    </row>
    <row r="20" spans="1:7" ht="28.8">
      <c r="A20" s="97"/>
      <c r="B20" s="105" t="s">
        <v>223</v>
      </c>
      <c r="C20" s="109">
        <v>1</v>
      </c>
      <c r="D20" s="106" t="s">
        <v>78</v>
      </c>
      <c r="E20" s="107">
        <v>390</v>
      </c>
      <c r="F20" s="107">
        <f t="shared" si="0"/>
        <v>0</v>
      </c>
      <c r="G20" s="96" t="s">
        <v>101</v>
      </c>
    </row>
    <row r="21" spans="1:7" ht="28.8">
      <c r="A21" s="97"/>
      <c r="B21" s="105" t="s">
        <v>225</v>
      </c>
      <c r="C21" s="109">
        <v>1</v>
      </c>
      <c r="D21" s="106" t="s">
        <v>78</v>
      </c>
      <c r="E21" s="107">
        <v>75</v>
      </c>
      <c r="F21" s="107">
        <f t="shared" si="0"/>
        <v>0</v>
      </c>
      <c r="G21" s="96" t="s">
        <v>101</v>
      </c>
    </row>
    <row r="22" spans="1:7" ht="28.8">
      <c r="A22" s="97"/>
      <c r="B22" s="105" t="s">
        <v>224</v>
      </c>
      <c r="C22" s="109">
        <v>1</v>
      </c>
      <c r="D22" s="106" t="s">
        <v>78</v>
      </c>
      <c r="E22" s="107">
        <v>200</v>
      </c>
      <c r="F22" s="107">
        <f t="shared" si="0"/>
        <v>0</v>
      </c>
      <c r="G22" s="96" t="s">
        <v>101</v>
      </c>
    </row>
    <row r="23" spans="1:7">
      <c r="A23" s="145"/>
      <c r="B23" s="105" t="s">
        <v>134</v>
      </c>
      <c r="C23" s="109">
        <v>1</v>
      </c>
      <c r="D23" s="110" t="s">
        <v>23</v>
      </c>
      <c r="E23" s="104">
        <v>0</v>
      </c>
      <c r="F23" s="104">
        <f t="shared" si="0"/>
        <v>0</v>
      </c>
      <c r="G23" s="96"/>
    </row>
    <row r="24" spans="1:7" s="112" customFormat="1">
      <c r="A24" s="214"/>
      <c r="B24" s="166" t="s">
        <v>135</v>
      </c>
      <c r="C24" s="167">
        <v>145</v>
      </c>
      <c r="D24" s="168" t="s">
        <v>23</v>
      </c>
      <c r="E24" s="169">
        <v>57</v>
      </c>
      <c r="F24" s="170">
        <f t="shared" si="0"/>
        <v>8265</v>
      </c>
      <c r="G24" s="94" t="s">
        <v>136</v>
      </c>
    </row>
    <row r="25" spans="1:7" s="112" customFormat="1">
      <c r="A25" s="215"/>
      <c r="B25" s="166" t="s">
        <v>102</v>
      </c>
      <c r="C25" s="167">
        <v>145</v>
      </c>
      <c r="D25" s="168" t="s">
        <v>23</v>
      </c>
      <c r="E25" s="169">
        <v>96</v>
      </c>
      <c r="F25" s="170">
        <f t="shared" si="0"/>
        <v>13920</v>
      </c>
      <c r="G25" s="171" t="s">
        <v>103</v>
      </c>
    </row>
    <row r="26" spans="1:7">
      <c r="A26" s="145"/>
      <c r="B26" s="166" t="s">
        <v>137</v>
      </c>
      <c r="C26" s="167">
        <v>1</v>
      </c>
      <c r="D26" s="168" t="s">
        <v>23</v>
      </c>
      <c r="E26" s="169">
        <v>11000</v>
      </c>
      <c r="F26" s="170">
        <f t="shared" si="0"/>
        <v>11000</v>
      </c>
      <c r="G26" s="171" t="s">
        <v>138</v>
      </c>
    </row>
    <row r="27" spans="1:7" s="112" customFormat="1">
      <c r="A27" s="158"/>
      <c r="B27" s="166" t="s">
        <v>135</v>
      </c>
      <c r="C27" s="167">
        <v>145</v>
      </c>
      <c r="D27" s="168" t="s">
        <v>23</v>
      </c>
      <c r="E27" s="169">
        <v>30</v>
      </c>
      <c r="F27" s="170">
        <f t="shared" si="0"/>
        <v>4350</v>
      </c>
      <c r="G27" s="94" t="s">
        <v>136</v>
      </c>
    </row>
    <row r="28" spans="1:7" s="112" customFormat="1">
      <c r="A28" s="159"/>
      <c r="B28" s="166" t="s">
        <v>102</v>
      </c>
      <c r="C28" s="167">
        <v>145</v>
      </c>
      <c r="D28" s="168" t="s">
        <v>23</v>
      </c>
      <c r="E28" s="169">
        <v>45</v>
      </c>
      <c r="F28" s="170">
        <f t="shared" si="0"/>
        <v>6525</v>
      </c>
      <c r="G28" s="171" t="s">
        <v>264</v>
      </c>
    </row>
    <row r="29" spans="1:7" ht="129.6">
      <c r="A29" s="145" t="s">
        <v>139</v>
      </c>
      <c r="B29" s="166" t="s">
        <v>140</v>
      </c>
      <c r="C29" s="167">
        <v>1</v>
      </c>
      <c r="D29" s="168" t="s">
        <v>23</v>
      </c>
      <c r="E29" s="169">
        <v>42300</v>
      </c>
      <c r="F29" s="170">
        <f t="shared" si="0"/>
        <v>42300</v>
      </c>
      <c r="G29" s="171" t="s">
        <v>141</v>
      </c>
    </row>
    <row r="30" spans="1:7">
      <c r="A30" s="130" t="s">
        <v>270</v>
      </c>
      <c r="B30" s="130"/>
      <c r="C30" s="130"/>
      <c r="D30" s="130"/>
      <c r="E30" s="130"/>
      <c r="F30" s="29">
        <f>SUM(F15:F29)</f>
        <v>87245</v>
      </c>
      <c r="G30" s="130"/>
    </row>
    <row r="31" spans="1:7">
      <c r="A31" s="97"/>
      <c r="B31" s="136" t="s">
        <v>38</v>
      </c>
      <c r="C31" s="93">
        <v>145</v>
      </c>
      <c r="D31" s="137">
        <v>1</v>
      </c>
      <c r="E31" s="138">
        <v>0</v>
      </c>
      <c r="F31" s="101">
        <f>C31*D31*E31</f>
        <v>0</v>
      </c>
      <c r="G31" s="94" t="s">
        <v>39</v>
      </c>
    </row>
    <row r="32" spans="1:7" ht="28.8">
      <c r="A32" s="145" t="s">
        <v>113</v>
      </c>
      <c r="B32" s="172" t="s">
        <v>265</v>
      </c>
      <c r="C32" s="173">
        <v>145</v>
      </c>
      <c r="D32" s="174" t="s">
        <v>23</v>
      </c>
      <c r="E32" s="169">
        <v>65</v>
      </c>
      <c r="F32" s="101">
        <f>C32*D32*E32</f>
        <v>9425</v>
      </c>
      <c r="G32" s="175" t="s">
        <v>266</v>
      </c>
    </row>
    <row r="33" spans="1:7">
      <c r="A33" s="97"/>
      <c r="B33" s="176" t="s">
        <v>112</v>
      </c>
      <c r="C33" s="177">
        <v>1</v>
      </c>
      <c r="D33" s="178" t="s">
        <v>23</v>
      </c>
      <c r="E33" s="170">
        <v>0</v>
      </c>
      <c r="F33" s="111">
        <f>C33*D33*E33</f>
        <v>0</v>
      </c>
      <c r="G33" s="175" t="s">
        <v>101</v>
      </c>
    </row>
    <row r="34" spans="1:7" ht="30" customHeight="1">
      <c r="A34" s="203" t="s">
        <v>276</v>
      </c>
      <c r="B34" s="176" t="s">
        <v>231</v>
      </c>
      <c r="C34" s="177">
        <v>145</v>
      </c>
      <c r="D34" s="195" t="s">
        <v>78</v>
      </c>
      <c r="E34" s="196">
        <v>59</v>
      </c>
      <c r="F34" s="180">
        <f>C34*D34*E34</f>
        <v>0</v>
      </c>
      <c r="G34" s="175" t="s">
        <v>136</v>
      </c>
    </row>
    <row r="35" spans="1:7" ht="28.8">
      <c r="A35" s="205"/>
      <c r="B35" s="176" t="s">
        <v>267</v>
      </c>
      <c r="C35" s="177">
        <v>145</v>
      </c>
      <c r="D35" s="195" t="s">
        <v>78</v>
      </c>
      <c r="E35" s="196">
        <v>60</v>
      </c>
      <c r="F35" s="180">
        <f>C35*D35*E35</f>
        <v>0</v>
      </c>
      <c r="G35" s="175"/>
    </row>
    <row r="36" spans="1:7">
      <c r="A36" s="203" t="s">
        <v>277</v>
      </c>
      <c r="B36" s="105" t="s">
        <v>194</v>
      </c>
      <c r="C36" s="109">
        <v>145</v>
      </c>
      <c r="D36" s="110" t="s">
        <v>18</v>
      </c>
      <c r="E36" s="104">
        <v>295</v>
      </c>
      <c r="F36" s="104">
        <f t="shared" ref="F36" si="1">C36*D36*E36</f>
        <v>128325</v>
      </c>
      <c r="G36" s="96" t="s">
        <v>195</v>
      </c>
    </row>
    <row r="37" spans="1:7" ht="30" customHeight="1">
      <c r="A37" s="204"/>
      <c r="B37" s="194" t="s">
        <v>286</v>
      </c>
      <c r="C37" s="177">
        <v>145</v>
      </c>
      <c r="D37" s="178" t="s">
        <v>23</v>
      </c>
      <c r="E37" s="170">
        <v>145</v>
      </c>
      <c r="F37" s="111">
        <f>C37*D37*E37</f>
        <v>21025</v>
      </c>
      <c r="G37" s="175" t="s">
        <v>279</v>
      </c>
    </row>
    <row r="38" spans="1:7" ht="28.8">
      <c r="A38" s="204"/>
      <c r="B38" s="194" t="s">
        <v>267</v>
      </c>
      <c r="C38" s="177">
        <v>145</v>
      </c>
      <c r="D38" s="178" t="s">
        <v>23</v>
      </c>
      <c r="E38" s="170">
        <v>162</v>
      </c>
      <c r="F38" s="111">
        <f>C38*D38*E38</f>
        <v>23490</v>
      </c>
      <c r="G38" s="175"/>
    </row>
    <row r="39" spans="1:7">
      <c r="A39" s="205"/>
      <c r="B39" s="194" t="s">
        <v>287</v>
      </c>
      <c r="C39" s="177">
        <v>1</v>
      </c>
      <c r="D39" s="178" t="s">
        <v>23</v>
      </c>
      <c r="E39" s="170">
        <v>8900</v>
      </c>
      <c r="F39" s="111">
        <f>C39*D39*E39</f>
        <v>8900</v>
      </c>
      <c r="G39" s="175"/>
    </row>
    <row r="40" spans="1:7">
      <c r="A40" s="206" t="s">
        <v>278</v>
      </c>
      <c r="B40" s="105" t="s">
        <v>194</v>
      </c>
      <c r="C40" s="109">
        <v>145</v>
      </c>
      <c r="D40" s="108" t="s">
        <v>78</v>
      </c>
      <c r="E40" s="107">
        <v>295</v>
      </c>
      <c r="F40" s="107">
        <f t="shared" ref="F40" si="2">C40*D40*E40</f>
        <v>0</v>
      </c>
      <c r="G40" s="96" t="s">
        <v>195</v>
      </c>
    </row>
    <row r="41" spans="1:7" ht="30" customHeight="1">
      <c r="A41" s="207"/>
      <c r="B41" s="194" t="s">
        <v>274</v>
      </c>
      <c r="C41" s="177">
        <v>145</v>
      </c>
      <c r="D41" s="195" t="s">
        <v>78</v>
      </c>
      <c r="E41" s="196">
        <v>85</v>
      </c>
      <c r="F41" s="180">
        <f>C41*D41*E41</f>
        <v>0</v>
      </c>
      <c r="G41" s="175" t="s">
        <v>136</v>
      </c>
    </row>
    <row r="42" spans="1:7" ht="28.8">
      <c r="A42" s="207"/>
      <c r="B42" s="194" t="s">
        <v>267</v>
      </c>
      <c r="C42" s="177">
        <v>145</v>
      </c>
      <c r="D42" s="195" t="s">
        <v>78</v>
      </c>
      <c r="E42" s="196">
        <v>91</v>
      </c>
      <c r="F42" s="180">
        <f>C42*D42*E42</f>
        <v>0</v>
      </c>
      <c r="G42" s="175"/>
    </row>
    <row r="43" spans="1:7" ht="28.8">
      <c r="A43" s="208"/>
      <c r="B43" s="194" t="s">
        <v>283</v>
      </c>
      <c r="C43" s="177">
        <v>1</v>
      </c>
      <c r="D43" s="195" t="s">
        <v>78</v>
      </c>
      <c r="E43" s="196">
        <v>30500</v>
      </c>
      <c r="F43" s="180">
        <f>C43*D43*E43</f>
        <v>0</v>
      </c>
      <c r="G43" s="175"/>
    </row>
    <row r="44" spans="1:7">
      <c r="A44" s="206" t="s">
        <v>285</v>
      </c>
      <c r="B44" s="105" t="s">
        <v>194</v>
      </c>
      <c r="C44" s="109">
        <v>145</v>
      </c>
      <c r="D44" s="108" t="s">
        <v>78</v>
      </c>
      <c r="E44" s="107">
        <v>295</v>
      </c>
      <c r="F44" s="107">
        <f t="shared" ref="F44" si="3">C44*D44*E44</f>
        <v>0</v>
      </c>
      <c r="G44" s="96"/>
    </row>
    <row r="45" spans="1:7" ht="30" customHeight="1">
      <c r="A45" s="207"/>
      <c r="B45" s="194" t="s">
        <v>275</v>
      </c>
      <c r="C45" s="177">
        <v>145</v>
      </c>
      <c r="D45" s="195" t="s">
        <v>78</v>
      </c>
      <c r="E45" s="196">
        <v>312</v>
      </c>
      <c r="F45" s="180">
        <f>C45*D45*E45</f>
        <v>0</v>
      </c>
      <c r="G45" s="175" t="s">
        <v>279</v>
      </c>
    </row>
    <row r="46" spans="1:7" ht="28.8">
      <c r="A46" s="207"/>
      <c r="B46" s="194" t="s">
        <v>267</v>
      </c>
      <c r="C46" s="177">
        <v>145</v>
      </c>
      <c r="D46" s="195" t="s">
        <v>78</v>
      </c>
      <c r="E46" s="196">
        <v>170</v>
      </c>
      <c r="F46" s="180">
        <f>C46*D46*E46</f>
        <v>0</v>
      </c>
      <c r="G46" s="175"/>
    </row>
    <row r="47" spans="1:7" ht="28.8">
      <c r="A47" s="208"/>
      <c r="B47" s="194" t="s">
        <v>284</v>
      </c>
      <c r="C47" s="177">
        <v>1</v>
      </c>
      <c r="D47" s="195" t="s">
        <v>78</v>
      </c>
      <c r="E47" s="196">
        <v>13850</v>
      </c>
      <c r="F47" s="180">
        <f>C47*D47*E47</f>
        <v>0</v>
      </c>
      <c r="G47" s="175"/>
    </row>
    <row r="48" spans="1:7">
      <c r="A48" s="198"/>
      <c r="B48" s="179" t="s">
        <v>122</v>
      </c>
      <c r="C48" s="93">
        <v>1</v>
      </c>
      <c r="D48" s="168" t="s">
        <v>23</v>
      </c>
      <c r="E48" s="169">
        <v>900</v>
      </c>
      <c r="F48" s="111">
        <f t="shared" ref="F48:F51" si="4">C48*D48*E48</f>
        <v>900</v>
      </c>
      <c r="G48" s="181"/>
    </row>
    <row r="49" spans="1:7">
      <c r="A49" s="97"/>
      <c r="B49" s="179" t="s">
        <v>123</v>
      </c>
      <c r="C49" s="167">
        <v>1</v>
      </c>
      <c r="D49" s="168" t="s">
        <v>23</v>
      </c>
      <c r="E49" s="169">
        <v>1450</v>
      </c>
      <c r="F49" s="111">
        <f t="shared" si="4"/>
        <v>1450</v>
      </c>
      <c r="G49" s="48"/>
    </row>
    <row r="50" spans="1:7">
      <c r="A50" s="97"/>
      <c r="B50" s="179" t="s">
        <v>148</v>
      </c>
      <c r="C50" s="184">
        <v>1</v>
      </c>
      <c r="D50" s="185" t="s">
        <v>23</v>
      </c>
      <c r="E50" s="186">
        <v>600</v>
      </c>
      <c r="F50" s="101">
        <f t="shared" si="4"/>
        <v>600</v>
      </c>
      <c r="G50" s="181"/>
    </row>
    <row r="51" spans="1:7">
      <c r="A51" s="97"/>
      <c r="B51" s="179" t="s">
        <v>149</v>
      </c>
      <c r="C51" s="187">
        <v>1</v>
      </c>
      <c r="D51" s="185" t="s">
        <v>23</v>
      </c>
      <c r="E51" s="186">
        <v>900</v>
      </c>
      <c r="F51" s="101">
        <f t="shared" si="4"/>
        <v>900</v>
      </c>
      <c r="G51" s="48"/>
    </row>
    <row r="52" spans="1:7">
      <c r="A52" s="188" t="s">
        <v>271</v>
      </c>
      <c r="B52" s="147"/>
      <c r="C52" s="148"/>
      <c r="D52" s="149"/>
      <c r="E52" s="150"/>
      <c r="F52" s="29">
        <f>SUM(F31:F51)</f>
        <v>195015</v>
      </c>
      <c r="G52" s="151"/>
    </row>
    <row r="53" spans="1:7">
      <c r="A53" s="97"/>
      <c r="B53" s="136" t="s">
        <v>38</v>
      </c>
      <c r="C53" s="93">
        <v>145</v>
      </c>
      <c r="D53" s="137">
        <v>1</v>
      </c>
      <c r="E53" s="138">
        <v>0</v>
      </c>
      <c r="F53" s="101">
        <f>C53*D53*E53</f>
        <v>0</v>
      </c>
      <c r="G53" s="94" t="s">
        <v>39</v>
      </c>
    </row>
    <row r="54" spans="1:7">
      <c r="A54" s="97" t="s">
        <v>233</v>
      </c>
      <c r="B54" s="105" t="s">
        <v>150</v>
      </c>
      <c r="C54" s="109">
        <v>3</v>
      </c>
      <c r="D54" s="110" t="s">
        <v>23</v>
      </c>
      <c r="E54" s="104">
        <v>325</v>
      </c>
      <c r="F54" s="104">
        <f t="shared" ref="F54:F73" si="5">C54*D54*E54</f>
        <v>975</v>
      </c>
      <c r="G54" s="96"/>
    </row>
    <row r="55" spans="1:7">
      <c r="A55" s="97" t="s">
        <v>234</v>
      </c>
      <c r="B55" s="105" t="s">
        <v>196</v>
      </c>
      <c r="C55" s="109">
        <v>3</v>
      </c>
      <c r="D55" s="110" t="s">
        <v>23</v>
      </c>
      <c r="E55" s="104">
        <v>420</v>
      </c>
      <c r="F55" s="104">
        <f t="shared" si="5"/>
        <v>1260</v>
      </c>
      <c r="G55" s="96"/>
    </row>
    <row r="56" spans="1:7">
      <c r="A56" s="97" t="s">
        <v>120</v>
      </c>
      <c r="B56" s="179" t="s">
        <v>235</v>
      </c>
      <c r="C56" s="93">
        <v>145</v>
      </c>
      <c r="D56" s="168" t="s">
        <v>23</v>
      </c>
      <c r="E56" s="169">
        <v>19</v>
      </c>
      <c r="F56" s="111">
        <f t="shared" si="5"/>
        <v>2755</v>
      </c>
      <c r="G56" s="182" t="s">
        <v>117</v>
      </c>
    </row>
    <row r="57" spans="1:7" ht="28.8">
      <c r="A57" s="214" t="s">
        <v>237</v>
      </c>
      <c r="B57" s="153" t="s">
        <v>238</v>
      </c>
      <c r="C57" s="154">
        <v>145</v>
      </c>
      <c r="D57" s="155" t="s">
        <v>23</v>
      </c>
      <c r="E57" s="162">
        <v>68</v>
      </c>
      <c r="F57" s="156">
        <f>C57*D57*E57</f>
        <v>9860</v>
      </c>
      <c r="G57" s="157" t="s">
        <v>114</v>
      </c>
    </row>
    <row r="58" spans="1:7" ht="43.2">
      <c r="A58" s="216"/>
      <c r="B58" s="153" t="s">
        <v>239</v>
      </c>
      <c r="C58" s="154">
        <v>145</v>
      </c>
      <c r="D58" s="155">
        <v>1</v>
      </c>
      <c r="E58" s="162">
        <v>50</v>
      </c>
      <c r="F58" s="156">
        <f>C58*D58*E58</f>
        <v>7250</v>
      </c>
      <c r="G58" s="157" t="s">
        <v>115</v>
      </c>
    </row>
    <row r="59" spans="1:7">
      <c r="A59" s="97" t="s">
        <v>236</v>
      </c>
      <c r="B59" s="179" t="s">
        <v>122</v>
      </c>
      <c r="C59" s="93">
        <v>1</v>
      </c>
      <c r="D59" s="168" t="s">
        <v>78</v>
      </c>
      <c r="E59" s="169">
        <v>0</v>
      </c>
      <c r="F59" s="111">
        <f t="shared" si="5"/>
        <v>0</v>
      </c>
      <c r="G59" s="181"/>
    </row>
    <row r="60" spans="1:7">
      <c r="A60" s="214" t="s">
        <v>240</v>
      </c>
      <c r="B60" s="105" t="s">
        <v>241</v>
      </c>
      <c r="C60" s="109">
        <v>145</v>
      </c>
      <c r="D60" s="110" t="s">
        <v>23</v>
      </c>
      <c r="E60" s="104">
        <v>61</v>
      </c>
      <c r="F60" s="104">
        <f>C60*D60*E60</f>
        <v>8845</v>
      </c>
      <c r="G60" s="96" t="s">
        <v>242</v>
      </c>
    </row>
    <row r="61" spans="1:7">
      <c r="A61" s="215"/>
      <c r="B61" s="105" t="s">
        <v>102</v>
      </c>
      <c r="C61" s="109">
        <v>145</v>
      </c>
      <c r="D61" s="110" t="s">
        <v>23</v>
      </c>
      <c r="E61" s="104">
        <v>68</v>
      </c>
      <c r="F61" s="104">
        <f>C61*D61*E61</f>
        <v>9860</v>
      </c>
      <c r="G61" s="96" t="s">
        <v>119</v>
      </c>
    </row>
    <row r="62" spans="1:7">
      <c r="A62" s="97" t="s">
        <v>243</v>
      </c>
      <c r="B62" s="105" t="s">
        <v>244</v>
      </c>
      <c r="C62" s="109">
        <v>145</v>
      </c>
      <c r="D62" s="108" t="s">
        <v>78</v>
      </c>
      <c r="E62" s="107">
        <v>163</v>
      </c>
      <c r="F62" s="107">
        <f t="shared" ref="F62:F68" si="6">C62*D62*E62</f>
        <v>0</v>
      </c>
      <c r="G62" s="96" t="s">
        <v>245</v>
      </c>
    </row>
    <row r="63" spans="1:7" ht="28.8">
      <c r="A63" s="97" t="s">
        <v>243</v>
      </c>
      <c r="B63" s="105" t="s">
        <v>246</v>
      </c>
      <c r="C63" s="109">
        <v>145</v>
      </c>
      <c r="D63" s="110" t="s">
        <v>23</v>
      </c>
      <c r="E63" s="104">
        <v>89</v>
      </c>
      <c r="F63" s="104">
        <f t="shared" si="6"/>
        <v>12905</v>
      </c>
      <c r="G63" s="96" t="s">
        <v>117</v>
      </c>
    </row>
    <row r="64" spans="1:7" ht="57.6">
      <c r="A64" s="97" t="s">
        <v>248</v>
      </c>
      <c r="B64" s="179" t="s">
        <v>247</v>
      </c>
      <c r="C64" s="93">
        <v>145</v>
      </c>
      <c r="D64" s="168" t="s">
        <v>23</v>
      </c>
      <c r="E64" s="169">
        <v>265</v>
      </c>
      <c r="F64" s="111">
        <f t="shared" si="6"/>
        <v>38425</v>
      </c>
      <c r="G64" s="182"/>
    </row>
    <row r="65" spans="1:7">
      <c r="A65" s="97"/>
      <c r="B65" s="179" t="s">
        <v>250</v>
      </c>
      <c r="C65" s="167">
        <v>1</v>
      </c>
      <c r="D65" s="168" t="s">
        <v>23</v>
      </c>
      <c r="E65" s="169">
        <v>17900</v>
      </c>
      <c r="F65" s="111">
        <f t="shared" si="6"/>
        <v>17900</v>
      </c>
      <c r="G65" s="48"/>
    </row>
    <row r="66" spans="1:7">
      <c r="A66" s="97"/>
      <c r="B66" s="179" t="s">
        <v>249</v>
      </c>
      <c r="C66" s="167">
        <v>1</v>
      </c>
      <c r="D66" s="168" t="s">
        <v>23</v>
      </c>
      <c r="E66" s="169">
        <v>900</v>
      </c>
      <c r="F66" s="170">
        <f t="shared" si="6"/>
        <v>900</v>
      </c>
      <c r="G66" s="48"/>
    </row>
    <row r="67" spans="1:7" ht="28.8">
      <c r="A67" s="97"/>
      <c r="B67" s="179" t="s">
        <v>123</v>
      </c>
      <c r="C67" s="167">
        <v>1</v>
      </c>
      <c r="D67" s="168" t="s">
        <v>23</v>
      </c>
      <c r="E67" s="169">
        <v>1450</v>
      </c>
      <c r="F67" s="111">
        <f t="shared" si="6"/>
        <v>1450</v>
      </c>
      <c r="G67" s="48" t="s">
        <v>121</v>
      </c>
    </row>
    <row r="68" spans="1:7">
      <c r="A68" s="97"/>
      <c r="B68" s="179" t="s">
        <v>251</v>
      </c>
      <c r="C68" s="167">
        <v>1</v>
      </c>
      <c r="D68" s="168" t="s">
        <v>23</v>
      </c>
      <c r="E68" s="169">
        <v>1200</v>
      </c>
      <c r="F68" s="170">
        <f t="shared" si="6"/>
        <v>1200</v>
      </c>
      <c r="G68" s="48"/>
    </row>
    <row r="69" spans="1:7" ht="28.8">
      <c r="A69" s="97"/>
      <c r="B69" s="179" t="s">
        <v>252</v>
      </c>
      <c r="C69" s="167">
        <v>1</v>
      </c>
      <c r="D69" s="168" t="s">
        <v>23</v>
      </c>
      <c r="E69" s="169">
        <v>3900</v>
      </c>
      <c r="F69" s="111">
        <f t="shared" si="5"/>
        <v>3900</v>
      </c>
      <c r="G69" s="48"/>
    </row>
    <row r="70" spans="1:7">
      <c r="A70" s="97"/>
      <c r="B70" s="179" t="s">
        <v>253</v>
      </c>
      <c r="C70" s="167">
        <v>1</v>
      </c>
      <c r="D70" s="168" t="s">
        <v>23</v>
      </c>
      <c r="E70" s="104">
        <v>7671</v>
      </c>
      <c r="F70" s="170">
        <f t="shared" si="5"/>
        <v>7671</v>
      </c>
      <c r="G70" s="48"/>
    </row>
    <row r="71" spans="1:7" ht="28.8">
      <c r="A71" s="97"/>
      <c r="B71" s="179" t="s">
        <v>252</v>
      </c>
      <c r="C71" s="167">
        <v>1</v>
      </c>
      <c r="D71" s="168" t="s">
        <v>23</v>
      </c>
      <c r="E71" s="169">
        <v>3900</v>
      </c>
      <c r="F71" s="111">
        <f t="shared" si="5"/>
        <v>3900</v>
      </c>
      <c r="G71" s="48"/>
    </row>
    <row r="72" spans="1:7">
      <c r="A72" s="97"/>
      <c r="B72" s="179" t="s">
        <v>180</v>
      </c>
      <c r="C72" s="184">
        <v>1</v>
      </c>
      <c r="D72" s="185" t="s">
        <v>23</v>
      </c>
      <c r="E72" s="186">
        <v>1800</v>
      </c>
      <c r="F72" s="101">
        <f t="shared" si="5"/>
        <v>1800</v>
      </c>
      <c r="G72" s="181" t="s">
        <v>181</v>
      </c>
    </row>
    <row r="73" spans="1:7">
      <c r="A73" s="97">
        <v>0</v>
      </c>
      <c r="B73" s="179" t="s">
        <v>184</v>
      </c>
      <c r="C73" s="184">
        <v>145</v>
      </c>
      <c r="D73" s="185" t="s">
        <v>23</v>
      </c>
      <c r="E73" s="186">
        <v>0</v>
      </c>
      <c r="F73" s="101">
        <f t="shared" si="5"/>
        <v>0</v>
      </c>
      <c r="G73" s="181"/>
    </row>
    <row r="74" spans="1:7">
      <c r="A74" s="130" t="s">
        <v>127</v>
      </c>
      <c r="B74" s="147"/>
      <c r="C74" s="148"/>
      <c r="D74" s="149"/>
      <c r="E74" s="150"/>
      <c r="F74" s="29">
        <f>SUM(F53:F73)</f>
        <v>130856</v>
      </c>
      <c r="G74" s="160"/>
    </row>
    <row r="75" spans="1:7">
      <c r="A75" s="97"/>
      <c r="B75" s="136" t="s">
        <v>38</v>
      </c>
      <c r="C75" s="93">
        <v>145</v>
      </c>
      <c r="D75" s="137">
        <v>1</v>
      </c>
      <c r="E75" s="138">
        <v>0</v>
      </c>
      <c r="F75" s="101">
        <f t="shared" ref="F75" si="7">C75*D75*E75</f>
        <v>0</v>
      </c>
      <c r="G75" s="94" t="s">
        <v>39</v>
      </c>
    </row>
    <row r="76" spans="1:7">
      <c r="A76" s="145">
        <v>0.5</v>
      </c>
      <c r="B76" s="176" t="s">
        <v>201</v>
      </c>
      <c r="C76" s="177">
        <v>145</v>
      </c>
      <c r="D76" s="192" t="s">
        <v>23</v>
      </c>
      <c r="E76" s="170">
        <v>0</v>
      </c>
      <c r="F76" s="170">
        <f>C76*D76*E76</f>
        <v>0</v>
      </c>
      <c r="G76" s="175" t="s">
        <v>111</v>
      </c>
    </row>
    <row r="77" spans="1:7">
      <c r="A77" s="97"/>
      <c r="B77" s="105" t="s">
        <v>254</v>
      </c>
      <c r="C77" s="109">
        <v>3</v>
      </c>
      <c r="D77" s="152" t="s">
        <v>23</v>
      </c>
      <c r="E77" s="104">
        <v>235</v>
      </c>
      <c r="F77" s="104">
        <f t="shared" ref="F77" si="8">C77*D77*E77</f>
        <v>705</v>
      </c>
      <c r="G77" s="96" t="s">
        <v>101</v>
      </c>
    </row>
    <row r="78" spans="1:7" ht="28.8">
      <c r="A78" s="97"/>
      <c r="B78" s="95" t="s">
        <v>202</v>
      </c>
      <c r="C78" s="102">
        <v>3</v>
      </c>
      <c r="D78" s="183" t="s">
        <v>78</v>
      </c>
      <c r="E78" s="107">
        <v>130</v>
      </c>
      <c r="F78" s="107">
        <f>C78*D78*E78</f>
        <v>0</v>
      </c>
      <c r="G78" s="96" t="s">
        <v>99</v>
      </c>
    </row>
    <row r="79" spans="1:7">
      <c r="A79" s="97"/>
      <c r="B79" s="105" t="s">
        <v>255</v>
      </c>
      <c r="C79" s="109">
        <v>1</v>
      </c>
      <c r="D79" s="106" t="s">
        <v>78</v>
      </c>
      <c r="E79" s="107">
        <v>230</v>
      </c>
      <c r="F79" s="107">
        <f t="shared" ref="F79:F83" si="9">C79*D79*E79</f>
        <v>0</v>
      </c>
      <c r="G79" s="96" t="s">
        <v>101</v>
      </c>
    </row>
    <row r="80" spans="1:7" ht="28.8">
      <c r="A80" s="97"/>
      <c r="B80" s="105" t="s">
        <v>256</v>
      </c>
      <c r="C80" s="109">
        <v>1</v>
      </c>
      <c r="D80" s="106" t="s">
        <v>78</v>
      </c>
      <c r="E80" s="107">
        <v>115</v>
      </c>
      <c r="F80" s="107">
        <f t="shared" si="9"/>
        <v>0</v>
      </c>
      <c r="G80" s="96" t="s">
        <v>101</v>
      </c>
    </row>
    <row r="81" spans="1:7" ht="28.8">
      <c r="A81" s="97"/>
      <c r="B81" s="105" t="s">
        <v>257</v>
      </c>
      <c r="C81" s="109">
        <v>1</v>
      </c>
      <c r="D81" s="106" t="s">
        <v>78</v>
      </c>
      <c r="E81" s="107">
        <v>390</v>
      </c>
      <c r="F81" s="107">
        <f t="shared" si="9"/>
        <v>0</v>
      </c>
      <c r="G81" s="96" t="s">
        <v>101</v>
      </c>
    </row>
    <row r="82" spans="1:7" ht="28.8">
      <c r="A82" s="97"/>
      <c r="B82" s="105" t="s">
        <v>258</v>
      </c>
      <c r="C82" s="109">
        <v>1</v>
      </c>
      <c r="D82" s="106" t="s">
        <v>78</v>
      </c>
      <c r="E82" s="107">
        <v>75</v>
      </c>
      <c r="F82" s="107">
        <f t="shared" si="9"/>
        <v>0</v>
      </c>
      <c r="G82" s="96" t="s">
        <v>101</v>
      </c>
    </row>
    <row r="83" spans="1:7" ht="28.8">
      <c r="A83" s="97"/>
      <c r="B83" s="105" t="s">
        <v>259</v>
      </c>
      <c r="C83" s="109">
        <v>1</v>
      </c>
      <c r="D83" s="106" t="s">
        <v>78</v>
      </c>
      <c r="E83" s="107">
        <v>200</v>
      </c>
      <c r="F83" s="107">
        <f t="shared" si="9"/>
        <v>0</v>
      </c>
      <c r="G83" s="96" t="s">
        <v>101</v>
      </c>
    </row>
    <row r="84" spans="1:7" ht="15" thickBot="1">
      <c r="A84" s="130"/>
      <c r="B84" s="130"/>
      <c r="C84" s="130"/>
      <c r="D84" s="130"/>
      <c r="E84" s="130"/>
      <c r="F84" s="29">
        <f>SUM(F75:F83)</f>
        <v>705</v>
      </c>
      <c r="G84" s="130"/>
    </row>
    <row r="85" spans="1:7" ht="15" thickBot="1">
      <c r="A85" s="139"/>
      <c r="B85" s="122" t="s">
        <v>86</v>
      </c>
      <c r="C85" s="123"/>
      <c r="D85" s="124"/>
      <c r="E85" s="125"/>
      <c r="F85" s="140">
        <f>F84+F74+F52+F30+F14</f>
        <v>477946</v>
      </c>
      <c r="G85" s="141"/>
    </row>
    <row r="86" spans="1:7" ht="15" thickBot="1">
      <c r="A86" s="139"/>
      <c r="B86" s="122" t="s">
        <v>87</v>
      </c>
      <c r="C86" s="123"/>
      <c r="D86" s="124"/>
      <c r="E86" s="125"/>
      <c r="F86" s="140">
        <f>F85</f>
        <v>477946</v>
      </c>
      <c r="G86" s="141"/>
    </row>
    <row r="87" spans="1:7" ht="15" thickBot="1">
      <c r="A87" s="139"/>
      <c r="B87" s="122" t="s">
        <v>118</v>
      </c>
      <c r="C87" s="123"/>
      <c r="D87" s="124"/>
      <c r="E87" s="125"/>
      <c r="F87" s="140">
        <f>F86/145</f>
        <v>3296.1793103448276</v>
      </c>
      <c r="G87" s="141"/>
    </row>
    <row r="90" spans="1:7">
      <c r="A90" s="58" t="s">
        <v>89</v>
      </c>
      <c r="B90" s="6"/>
      <c r="C90" s="6"/>
      <c r="D90" s="6"/>
      <c r="E90" s="6"/>
      <c r="F90" s="6"/>
      <c r="G90" s="6"/>
    </row>
    <row r="91" spans="1:7">
      <c r="A91" s="200" t="s">
        <v>90</v>
      </c>
      <c r="B91" s="200"/>
      <c r="C91" s="200"/>
      <c r="D91" s="200"/>
      <c r="E91" s="200"/>
      <c r="F91" s="5"/>
    </row>
    <row r="92" spans="1:7">
      <c r="A92" s="5" t="s">
        <v>91</v>
      </c>
      <c r="B92" s="5"/>
      <c r="C92" s="5"/>
      <c r="D92" s="5"/>
      <c r="E92" s="5"/>
      <c r="F92" s="5"/>
    </row>
    <row r="93" spans="1:7">
      <c r="A93" s="2" t="s">
        <v>92</v>
      </c>
      <c r="B93" s="6"/>
      <c r="C93" s="60"/>
      <c r="D93" s="6"/>
      <c r="E93" s="6"/>
      <c r="F93" s="6"/>
    </row>
    <row r="94" spans="1:7">
      <c r="A94" s="2" t="s">
        <v>93</v>
      </c>
      <c r="B94" s="6"/>
      <c r="C94" s="60"/>
      <c r="D94" s="6"/>
      <c r="E94" s="6"/>
      <c r="F94" s="6"/>
    </row>
  </sheetData>
  <mergeCells count="12">
    <mergeCell ref="G12:G13"/>
    <mergeCell ref="A24:A25"/>
    <mergeCell ref="A57:A58"/>
    <mergeCell ref="A60:A61"/>
    <mergeCell ref="A34:A35"/>
    <mergeCell ref="A40:A43"/>
    <mergeCell ref="A36:A39"/>
    <mergeCell ref="A44:A47"/>
    <mergeCell ref="A91:E91"/>
    <mergeCell ref="A5:C5"/>
    <mergeCell ref="A6:C6"/>
    <mergeCell ref="A8: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4"/>
  <sheetViews>
    <sheetView zoomScale="98" zoomScaleNormal="98" workbookViewId="0">
      <selection activeCell="B1" sqref="B1"/>
    </sheetView>
  </sheetViews>
  <sheetFormatPr defaultColWidth="9.109375" defaultRowHeight="14.4"/>
  <cols>
    <col min="1" max="1" width="24.44140625" style="1" customWidth="1"/>
    <col min="2" max="2" width="38.5546875" style="1" customWidth="1"/>
    <col min="3" max="3" width="7.44140625" style="1" bestFit="1" customWidth="1"/>
    <col min="4" max="4" width="13.5546875" style="1" customWidth="1"/>
    <col min="5" max="5" width="28.6640625" style="1" bestFit="1" customWidth="1"/>
    <col min="6" max="6" width="28.6640625" style="1" customWidth="1"/>
    <col min="7" max="7" width="52.5546875" style="1" customWidth="1"/>
    <col min="8" max="16384" width="9.109375" style="1"/>
  </cols>
  <sheetData>
    <row r="2" spans="1:7">
      <c r="D2" s="2"/>
      <c r="E2" s="92"/>
    </row>
    <row r="3" spans="1:7">
      <c r="D3" s="2"/>
      <c r="E3" s="4"/>
      <c r="F3" s="3"/>
    </row>
    <row r="4" spans="1:7">
      <c r="D4" s="3"/>
      <c r="E4" s="4"/>
      <c r="F4" s="4"/>
    </row>
    <row r="5" spans="1:7">
      <c r="A5" s="209" t="s">
        <v>220</v>
      </c>
      <c r="B5" s="209"/>
      <c r="C5" s="209"/>
      <c r="D5" s="3" t="s">
        <v>94</v>
      </c>
      <c r="E5" s="3" t="s">
        <v>221</v>
      </c>
      <c r="F5" s="3"/>
      <c r="G5" s="115"/>
    </row>
    <row r="6" spans="1:7">
      <c r="A6" s="210" t="s">
        <v>104</v>
      </c>
      <c r="B6" s="210"/>
      <c r="C6" s="210"/>
      <c r="D6" s="3" t="s">
        <v>2</v>
      </c>
      <c r="E6" s="4" t="s">
        <v>222</v>
      </c>
      <c r="F6" s="116"/>
      <c r="G6" s="115"/>
    </row>
    <row r="7" spans="1:7">
      <c r="A7" s="146" t="s">
        <v>107</v>
      </c>
      <c r="B7" s="117"/>
      <c r="C7" s="113"/>
      <c r="D7" s="3"/>
      <c r="E7" s="3"/>
      <c r="F7" s="3"/>
      <c r="G7" s="115"/>
    </row>
    <row r="8" spans="1:7">
      <c r="A8" s="211" t="s">
        <v>108</v>
      </c>
      <c r="B8" s="210"/>
      <c r="C8" s="210"/>
      <c r="D8" s="114"/>
      <c r="E8" s="4"/>
      <c r="F8" s="116"/>
      <c r="G8" s="115"/>
    </row>
    <row r="9" spans="1:7">
      <c r="A9" s="118" t="s">
        <v>105</v>
      </c>
      <c r="B9" s="119"/>
      <c r="C9" s="119"/>
      <c r="D9" s="119"/>
      <c r="E9" s="119"/>
      <c r="F9" s="119"/>
      <c r="G9" s="119"/>
    </row>
    <row r="10" spans="1:7" ht="15" thickBot="1">
      <c r="A10" s="120" t="s">
        <v>106</v>
      </c>
      <c r="B10" s="142"/>
      <c r="C10" s="143"/>
      <c r="D10" s="120"/>
      <c r="E10" s="144"/>
      <c r="F10" s="144"/>
      <c r="G10" s="142"/>
    </row>
    <row r="11" spans="1:7" ht="29.4" thickBot="1">
      <c r="A11" s="121" t="s">
        <v>10</v>
      </c>
      <c r="B11" s="122" t="s">
        <v>11</v>
      </c>
      <c r="C11" s="123" t="s">
        <v>12</v>
      </c>
      <c r="D11" s="124" t="s">
        <v>13</v>
      </c>
      <c r="E11" s="125" t="s">
        <v>14</v>
      </c>
      <c r="F11" s="126" t="s">
        <v>15</v>
      </c>
      <c r="G11" s="127" t="s">
        <v>16</v>
      </c>
    </row>
    <row r="12" spans="1:7">
      <c r="A12" s="128"/>
      <c r="B12" s="128" t="s">
        <v>109</v>
      </c>
      <c r="C12" s="98">
        <v>10</v>
      </c>
      <c r="D12" s="103" t="s">
        <v>18</v>
      </c>
      <c r="E12" s="129">
        <v>328</v>
      </c>
      <c r="F12" s="111">
        <f>C12*D12*E12</f>
        <v>9840</v>
      </c>
      <c r="G12" s="212" t="s">
        <v>95</v>
      </c>
    </row>
    <row r="13" spans="1:7">
      <c r="A13" s="128"/>
      <c r="B13" s="128" t="s">
        <v>261</v>
      </c>
      <c r="C13" s="98">
        <v>75</v>
      </c>
      <c r="D13" s="103" t="s">
        <v>18</v>
      </c>
      <c r="E13" s="129">
        <v>355</v>
      </c>
      <c r="F13" s="111">
        <f>C13*D13*E13</f>
        <v>79875</v>
      </c>
      <c r="G13" s="213"/>
    </row>
    <row r="14" spans="1:7">
      <c r="A14" s="130" t="s">
        <v>214</v>
      </c>
      <c r="B14" s="131"/>
      <c r="C14" s="132"/>
      <c r="D14" s="133"/>
      <c r="E14" s="134"/>
      <c r="F14" s="29">
        <f>SUM(F12:F13)</f>
        <v>89715</v>
      </c>
      <c r="G14" s="135"/>
    </row>
    <row r="15" spans="1:7" ht="28.8">
      <c r="A15" s="97"/>
      <c r="B15" s="95" t="s">
        <v>96</v>
      </c>
      <c r="C15" s="98">
        <v>2</v>
      </c>
      <c r="D15" s="99" t="s">
        <v>23</v>
      </c>
      <c r="E15" s="100">
        <v>0</v>
      </c>
      <c r="F15" s="101">
        <f t="shared" ref="F15:F29" si="0">C15*D15*E15</f>
        <v>0</v>
      </c>
      <c r="G15" s="96" t="s">
        <v>97</v>
      </c>
    </row>
    <row r="16" spans="1:7">
      <c r="A16" s="97"/>
      <c r="B16" s="105" t="s">
        <v>228</v>
      </c>
      <c r="C16" s="109">
        <v>3</v>
      </c>
      <c r="D16" s="152" t="s">
        <v>23</v>
      </c>
      <c r="E16" s="104">
        <v>295</v>
      </c>
      <c r="F16" s="104">
        <f t="shared" si="0"/>
        <v>885</v>
      </c>
      <c r="G16" s="96" t="s">
        <v>101</v>
      </c>
    </row>
    <row r="17" spans="1:7">
      <c r="A17" s="97"/>
      <c r="B17" s="95" t="s">
        <v>98</v>
      </c>
      <c r="C17" s="102">
        <v>3</v>
      </c>
      <c r="D17" s="183" t="s">
        <v>78</v>
      </c>
      <c r="E17" s="107">
        <v>130</v>
      </c>
      <c r="F17" s="107">
        <f>C17*D17*E17</f>
        <v>0</v>
      </c>
      <c r="G17" s="96" t="s">
        <v>99</v>
      </c>
    </row>
    <row r="18" spans="1:7">
      <c r="A18" s="97"/>
      <c r="B18" s="105" t="s">
        <v>227</v>
      </c>
      <c r="C18" s="109">
        <v>1</v>
      </c>
      <c r="D18" s="106" t="s">
        <v>78</v>
      </c>
      <c r="E18" s="107">
        <v>230</v>
      </c>
      <c r="F18" s="107">
        <f t="shared" si="0"/>
        <v>0</v>
      </c>
      <c r="G18" s="96" t="s">
        <v>101</v>
      </c>
    </row>
    <row r="19" spans="1:7" ht="28.8">
      <c r="A19" s="97"/>
      <c r="B19" s="105" t="s">
        <v>226</v>
      </c>
      <c r="C19" s="109">
        <v>1</v>
      </c>
      <c r="D19" s="106" t="s">
        <v>78</v>
      </c>
      <c r="E19" s="107">
        <v>115</v>
      </c>
      <c r="F19" s="107">
        <f t="shared" si="0"/>
        <v>0</v>
      </c>
      <c r="G19" s="96" t="s">
        <v>101</v>
      </c>
    </row>
    <row r="20" spans="1:7" ht="28.8">
      <c r="A20" s="97"/>
      <c r="B20" s="105" t="s">
        <v>223</v>
      </c>
      <c r="C20" s="109">
        <v>1</v>
      </c>
      <c r="D20" s="106" t="s">
        <v>78</v>
      </c>
      <c r="E20" s="107">
        <v>390</v>
      </c>
      <c r="F20" s="107">
        <f t="shared" si="0"/>
        <v>0</v>
      </c>
      <c r="G20" s="96" t="s">
        <v>101</v>
      </c>
    </row>
    <row r="21" spans="1:7" ht="28.8">
      <c r="A21" s="97"/>
      <c r="B21" s="105" t="s">
        <v>225</v>
      </c>
      <c r="C21" s="109">
        <v>1</v>
      </c>
      <c r="D21" s="106" t="s">
        <v>78</v>
      </c>
      <c r="E21" s="107">
        <v>75</v>
      </c>
      <c r="F21" s="107">
        <f t="shared" si="0"/>
        <v>0</v>
      </c>
      <c r="G21" s="96" t="s">
        <v>101</v>
      </c>
    </row>
    <row r="22" spans="1:7" ht="28.8">
      <c r="A22" s="97"/>
      <c r="B22" s="105" t="s">
        <v>224</v>
      </c>
      <c r="C22" s="109">
        <v>1</v>
      </c>
      <c r="D22" s="106" t="s">
        <v>78</v>
      </c>
      <c r="E22" s="107">
        <v>200</v>
      </c>
      <c r="F22" s="107">
        <f t="shared" si="0"/>
        <v>0</v>
      </c>
      <c r="G22" s="96" t="s">
        <v>101</v>
      </c>
    </row>
    <row r="23" spans="1:7">
      <c r="A23" s="145"/>
      <c r="B23" s="105" t="s">
        <v>134</v>
      </c>
      <c r="C23" s="109">
        <v>1</v>
      </c>
      <c r="D23" s="110" t="s">
        <v>23</v>
      </c>
      <c r="E23" s="104">
        <v>0</v>
      </c>
      <c r="F23" s="104">
        <f t="shared" si="0"/>
        <v>0</v>
      </c>
      <c r="G23" s="96"/>
    </row>
    <row r="24" spans="1:7" s="112" customFormat="1">
      <c r="A24" s="214"/>
      <c r="B24" s="166" t="s">
        <v>135</v>
      </c>
      <c r="C24" s="167">
        <v>145</v>
      </c>
      <c r="D24" s="168" t="s">
        <v>23</v>
      </c>
      <c r="E24" s="169">
        <v>57</v>
      </c>
      <c r="F24" s="170">
        <f t="shared" si="0"/>
        <v>8265</v>
      </c>
      <c r="G24" s="94" t="s">
        <v>136</v>
      </c>
    </row>
    <row r="25" spans="1:7" s="112" customFormat="1">
      <c r="A25" s="215"/>
      <c r="B25" s="166" t="s">
        <v>102</v>
      </c>
      <c r="C25" s="167">
        <v>145</v>
      </c>
      <c r="D25" s="168" t="s">
        <v>23</v>
      </c>
      <c r="E25" s="169">
        <v>96</v>
      </c>
      <c r="F25" s="170">
        <f t="shared" si="0"/>
        <v>13920</v>
      </c>
      <c r="G25" s="171" t="s">
        <v>103</v>
      </c>
    </row>
    <row r="26" spans="1:7">
      <c r="A26" s="145"/>
      <c r="B26" s="166" t="s">
        <v>137</v>
      </c>
      <c r="C26" s="167">
        <v>1</v>
      </c>
      <c r="D26" s="168" t="s">
        <v>23</v>
      </c>
      <c r="E26" s="169">
        <v>21920</v>
      </c>
      <c r="F26" s="170">
        <f t="shared" si="0"/>
        <v>21920</v>
      </c>
      <c r="G26" s="171" t="s">
        <v>138</v>
      </c>
    </row>
    <row r="27" spans="1:7" s="112" customFormat="1">
      <c r="A27" s="158"/>
      <c r="B27" s="166" t="s">
        <v>135</v>
      </c>
      <c r="C27" s="167">
        <v>145</v>
      </c>
      <c r="D27" s="168" t="s">
        <v>23</v>
      </c>
      <c r="E27" s="169">
        <v>55</v>
      </c>
      <c r="F27" s="170">
        <f t="shared" si="0"/>
        <v>7975</v>
      </c>
      <c r="G27" s="94" t="s">
        <v>136</v>
      </c>
    </row>
    <row r="28" spans="1:7" s="112" customFormat="1">
      <c r="A28" s="159"/>
      <c r="B28" s="166" t="s">
        <v>102</v>
      </c>
      <c r="C28" s="167">
        <v>145</v>
      </c>
      <c r="D28" s="168" t="s">
        <v>23</v>
      </c>
      <c r="E28" s="169">
        <v>65</v>
      </c>
      <c r="F28" s="170">
        <f t="shared" si="0"/>
        <v>9425</v>
      </c>
      <c r="G28" s="171" t="s">
        <v>103</v>
      </c>
    </row>
    <row r="29" spans="1:7" ht="129.6">
      <c r="A29" s="145" t="s">
        <v>139</v>
      </c>
      <c r="B29" s="166" t="s">
        <v>140</v>
      </c>
      <c r="C29" s="167">
        <v>1</v>
      </c>
      <c r="D29" s="168" t="s">
        <v>23</v>
      </c>
      <c r="E29" s="169">
        <v>42300</v>
      </c>
      <c r="F29" s="170">
        <f t="shared" si="0"/>
        <v>42300</v>
      </c>
      <c r="G29" s="171" t="s">
        <v>141</v>
      </c>
    </row>
    <row r="30" spans="1:7">
      <c r="A30" s="130" t="s">
        <v>215</v>
      </c>
      <c r="B30" s="130"/>
      <c r="C30" s="130"/>
      <c r="D30" s="130"/>
      <c r="E30" s="130"/>
      <c r="F30" s="29">
        <f>SUM(F15:F29)</f>
        <v>104690</v>
      </c>
      <c r="G30" s="130"/>
    </row>
    <row r="31" spans="1:7">
      <c r="A31" s="97"/>
      <c r="B31" s="136" t="s">
        <v>38</v>
      </c>
      <c r="C31" s="93">
        <v>145</v>
      </c>
      <c r="D31" s="137">
        <v>1</v>
      </c>
      <c r="E31" s="138">
        <v>0</v>
      </c>
      <c r="F31" s="101">
        <f>C31*D31*E31</f>
        <v>0</v>
      </c>
      <c r="G31" s="94" t="s">
        <v>39</v>
      </c>
    </row>
    <row r="32" spans="1:7" ht="43.2">
      <c r="A32" s="145" t="s">
        <v>113</v>
      </c>
      <c r="B32" s="172" t="s">
        <v>230</v>
      </c>
      <c r="C32" s="173">
        <v>1</v>
      </c>
      <c r="D32" s="174" t="s">
        <v>23</v>
      </c>
      <c r="E32" s="169">
        <v>21920</v>
      </c>
      <c r="F32" s="101">
        <f>C32*D32*E32</f>
        <v>21920</v>
      </c>
      <c r="G32" s="175" t="s">
        <v>229</v>
      </c>
    </row>
    <row r="33" spans="1:7">
      <c r="A33" s="97"/>
      <c r="B33" s="176" t="s">
        <v>112</v>
      </c>
      <c r="C33" s="177">
        <v>1</v>
      </c>
      <c r="D33" s="178" t="s">
        <v>23</v>
      </c>
      <c r="E33" s="170">
        <v>0</v>
      </c>
      <c r="F33" s="111">
        <f>C33*D33*E33</f>
        <v>0</v>
      </c>
      <c r="G33" s="175" t="s">
        <v>101</v>
      </c>
    </row>
    <row r="34" spans="1:7" ht="30" customHeight="1">
      <c r="A34" s="203" t="s">
        <v>276</v>
      </c>
      <c r="B34" s="176" t="s">
        <v>231</v>
      </c>
      <c r="C34" s="177">
        <v>145</v>
      </c>
      <c r="D34" s="195" t="s">
        <v>78</v>
      </c>
      <c r="E34" s="196">
        <v>59</v>
      </c>
      <c r="F34" s="180">
        <f>C34*D34*E34</f>
        <v>0</v>
      </c>
      <c r="G34" s="175" t="s">
        <v>136</v>
      </c>
    </row>
    <row r="35" spans="1:7" ht="28.8">
      <c r="A35" s="205"/>
      <c r="B35" s="176" t="s">
        <v>267</v>
      </c>
      <c r="C35" s="177">
        <v>145</v>
      </c>
      <c r="D35" s="195" t="s">
        <v>78</v>
      </c>
      <c r="E35" s="196">
        <v>60</v>
      </c>
      <c r="F35" s="180">
        <f>C35*D35*E35</f>
        <v>0</v>
      </c>
      <c r="G35" s="175"/>
    </row>
    <row r="36" spans="1:7">
      <c r="A36" s="203" t="s">
        <v>277</v>
      </c>
      <c r="B36" s="105" t="s">
        <v>194</v>
      </c>
      <c r="C36" s="109">
        <v>145</v>
      </c>
      <c r="D36" s="110" t="s">
        <v>18</v>
      </c>
      <c r="E36" s="104">
        <v>295</v>
      </c>
      <c r="F36" s="104">
        <f t="shared" ref="F36" si="1">C36*D36*E36</f>
        <v>128325</v>
      </c>
      <c r="G36" s="96"/>
    </row>
    <row r="37" spans="1:7" ht="30" customHeight="1">
      <c r="A37" s="204"/>
      <c r="B37" s="194" t="s">
        <v>286</v>
      </c>
      <c r="C37" s="177">
        <v>145</v>
      </c>
      <c r="D37" s="178" t="s">
        <v>23</v>
      </c>
      <c r="E37" s="170">
        <v>145</v>
      </c>
      <c r="F37" s="111">
        <f>C37*D37*E37</f>
        <v>21025</v>
      </c>
      <c r="G37" s="175" t="s">
        <v>279</v>
      </c>
    </row>
    <row r="38" spans="1:7" ht="28.8">
      <c r="A38" s="204"/>
      <c r="B38" s="194" t="s">
        <v>267</v>
      </c>
      <c r="C38" s="177">
        <v>145</v>
      </c>
      <c r="D38" s="178" t="s">
        <v>23</v>
      </c>
      <c r="E38" s="170">
        <v>162</v>
      </c>
      <c r="F38" s="111">
        <f>C38*D38*E38</f>
        <v>23490</v>
      </c>
      <c r="G38" s="175"/>
    </row>
    <row r="39" spans="1:7">
      <c r="A39" s="205"/>
      <c r="B39" s="194" t="s">
        <v>287</v>
      </c>
      <c r="C39" s="177">
        <v>1</v>
      </c>
      <c r="D39" s="178" t="s">
        <v>23</v>
      </c>
      <c r="E39" s="170">
        <v>8900</v>
      </c>
      <c r="F39" s="111">
        <f>C39*D39*E39</f>
        <v>8900</v>
      </c>
      <c r="G39" s="175"/>
    </row>
    <row r="40" spans="1:7">
      <c r="A40" s="206" t="s">
        <v>278</v>
      </c>
      <c r="B40" s="105" t="s">
        <v>194</v>
      </c>
      <c r="C40" s="109">
        <v>145</v>
      </c>
      <c r="D40" s="108" t="s">
        <v>78</v>
      </c>
      <c r="E40" s="107">
        <v>295</v>
      </c>
      <c r="F40" s="107">
        <f t="shared" ref="F40" si="2">C40*D40*E40</f>
        <v>0</v>
      </c>
      <c r="G40" s="96"/>
    </row>
    <row r="41" spans="1:7" ht="30" customHeight="1">
      <c r="A41" s="207"/>
      <c r="B41" s="194" t="s">
        <v>274</v>
      </c>
      <c r="C41" s="177">
        <v>145</v>
      </c>
      <c r="D41" s="195" t="s">
        <v>78</v>
      </c>
      <c r="E41" s="196">
        <v>85</v>
      </c>
      <c r="F41" s="180">
        <f>C41*D41*E41</f>
        <v>0</v>
      </c>
      <c r="G41" s="175" t="s">
        <v>136</v>
      </c>
    </row>
    <row r="42" spans="1:7" ht="28.8">
      <c r="A42" s="207"/>
      <c r="B42" s="194" t="s">
        <v>267</v>
      </c>
      <c r="C42" s="177">
        <v>145</v>
      </c>
      <c r="D42" s="195" t="s">
        <v>78</v>
      </c>
      <c r="E42" s="196">
        <v>91</v>
      </c>
      <c r="F42" s="180">
        <f>C42*D42*E42</f>
        <v>0</v>
      </c>
      <c r="G42" s="175"/>
    </row>
    <row r="43" spans="1:7" ht="28.8">
      <c r="A43" s="208"/>
      <c r="B43" s="194" t="s">
        <v>283</v>
      </c>
      <c r="C43" s="177">
        <v>1</v>
      </c>
      <c r="D43" s="195" t="s">
        <v>78</v>
      </c>
      <c r="E43" s="196">
        <v>30500</v>
      </c>
      <c r="F43" s="180">
        <f>C43*D43*E43</f>
        <v>0</v>
      </c>
      <c r="G43" s="175"/>
    </row>
    <row r="44" spans="1:7">
      <c r="A44" s="206" t="s">
        <v>285</v>
      </c>
      <c r="B44" s="105" t="s">
        <v>194</v>
      </c>
      <c r="C44" s="109">
        <v>145</v>
      </c>
      <c r="D44" s="108" t="s">
        <v>78</v>
      </c>
      <c r="E44" s="107">
        <v>295</v>
      </c>
      <c r="F44" s="107">
        <f t="shared" ref="F44" si="3">C44*D44*E44</f>
        <v>0</v>
      </c>
      <c r="G44" s="96"/>
    </row>
    <row r="45" spans="1:7" ht="30" customHeight="1">
      <c r="A45" s="207"/>
      <c r="B45" s="194" t="s">
        <v>275</v>
      </c>
      <c r="C45" s="177">
        <v>145</v>
      </c>
      <c r="D45" s="195" t="s">
        <v>78</v>
      </c>
      <c r="E45" s="196">
        <v>312</v>
      </c>
      <c r="F45" s="180">
        <f>C45*D45*E45</f>
        <v>0</v>
      </c>
      <c r="G45" s="175" t="s">
        <v>279</v>
      </c>
    </row>
    <row r="46" spans="1:7" ht="28.8">
      <c r="A46" s="207"/>
      <c r="B46" s="194" t="s">
        <v>267</v>
      </c>
      <c r="C46" s="177">
        <v>145</v>
      </c>
      <c r="D46" s="195" t="s">
        <v>78</v>
      </c>
      <c r="E46" s="196">
        <v>170</v>
      </c>
      <c r="F46" s="180">
        <f>C46*D46*E46</f>
        <v>0</v>
      </c>
      <c r="G46" s="175"/>
    </row>
    <row r="47" spans="1:7" ht="28.8">
      <c r="A47" s="208"/>
      <c r="B47" s="194" t="s">
        <v>284</v>
      </c>
      <c r="C47" s="177">
        <v>1</v>
      </c>
      <c r="D47" s="195" t="s">
        <v>78</v>
      </c>
      <c r="E47" s="196">
        <v>13850</v>
      </c>
      <c r="F47" s="180">
        <f>C47*D47*E47</f>
        <v>0</v>
      </c>
      <c r="G47" s="175"/>
    </row>
    <row r="48" spans="1:7">
      <c r="A48" s="198"/>
      <c r="B48" s="179" t="s">
        <v>122</v>
      </c>
      <c r="C48" s="93">
        <v>1</v>
      </c>
      <c r="D48" s="168" t="s">
        <v>23</v>
      </c>
      <c r="E48" s="169">
        <v>900</v>
      </c>
      <c r="F48" s="111">
        <f t="shared" ref="F48:F49" si="4">C48*D48*E48</f>
        <v>900</v>
      </c>
      <c r="G48" s="181"/>
    </row>
    <row r="49" spans="1:7">
      <c r="A49" s="97"/>
      <c r="B49" s="179" t="s">
        <v>123</v>
      </c>
      <c r="C49" s="167">
        <v>1</v>
      </c>
      <c r="D49" s="168" t="s">
        <v>23</v>
      </c>
      <c r="E49" s="169">
        <v>1450</v>
      </c>
      <c r="F49" s="111">
        <f t="shared" si="4"/>
        <v>1450</v>
      </c>
      <c r="G49" s="48"/>
    </row>
    <row r="50" spans="1:7">
      <c r="A50" s="97"/>
      <c r="B50" s="179" t="s">
        <v>148</v>
      </c>
      <c r="C50" s="184">
        <v>1</v>
      </c>
      <c r="D50" s="185" t="s">
        <v>23</v>
      </c>
      <c r="E50" s="186">
        <v>600</v>
      </c>
      <c r="F50" s="101">
        <f t="shared" ref="F50:F51" si="5">C50*D50*E50</f>
        <v>600</v>
      </c>
      <c r="G50" s="181"/>
    </row>
    <row r="51" spans="1:7">
      <c r="A51" s="97"/>
      <c r="B51" s="179" t="s">
        <v>149</v>
      </c>
      <c r="C51" s="187">
        <v>1</v>
      </c>
      <c r="D51" s="185" t="s">
        <v>23</v>
      </c>
      <c r="E51" s="186">
        <v>900</v>
      </c>
      <c r="F51" s="101">
        <f t="shared" si="5"/>
        <v>900</v>
      </c>
      <c r="G51" s="48"/>
    </row>
    <row r="52" spans="1:7">
      <c r="A52" s="188" t="s">
        <v>217</v>
      </c>
      <c r="B52" s="147"/>
      <c r="C52" s="148"/>
      <c r="D52" s="149"/>
      <c r="E52" s="150"/>
      <c r="F52" s="29">
        <f>SUM(F31:F51)</f>
        <v>207510</v>
      </c>
      <c r="G52" s="151"/>
    </row>
    <row r="53" spans="1:7">
      <c r="A53" s="97"/>
      <c r="B53" s="136" t="s">
        <v>38</v>
      </c>
      <c r="C53" s="93">
        <v>145</v>
      </c>
      <c r="D53" s="137">
        <v>1</v>
      </c>
      <c r="E53" s="138">
        <v>0</v>
      </c>
      <c r="F53" s="101">
        <f>C53*D53*E53</f>
        <v>0</v>
      </c>
      <c r="G53" s="94" t="s">
        <v>39</v>
      </c>
    </row>
    <row r="54" spans="1:7">
      <c r="A54" s="97" t="s">
        <v>233</v>
      </c>
      <c r="B54" s="105" t="s">
        <v>150</v>
      </c>
      <c r="C54" s="109">
        <v>3</v>
      </c>
      <c r="D54" s="110" t="s">
        <v>23</v>
      </c>
      <c r="E54" s="104">
        <v>325</v>
      </c>
      <c r="F54" s="104">
        <f t="shared" ref="F54:F55" si="6">C54*D54*E54</f>
        <v>975</v>
      </c>
      <c r="G54" s="96"/>
    </row>
    <row r="55" spans="1:7">
      <c r="A55" s="97" t="s">
        <v>234</v>
      </c>
      <c r="B55" s="105" t="s">
        <v>196</v>
      </c>
      <c r="C55" s="109">
        <v>3</v>
      </c>
      <c r="D55" s="110" t="s">
        <v>23</v>
      </c>
      <c r="E55" s="104">
        <v>420</v>
      </c>
      <c r="F55" s="104">
        <f t="shared" si="6"/>
        <v>1260</v>
      </c>
      <c r="G55" s="96"/>
    </row>
    <row r="56" spans="1:7">
      <c r="A56" s="97" t="s">
        <v>120</v>
      </c>
      <c r="B56" s="179" t="s">
        <v>235</v>
      </c>
      <c r="C56" s="93">
        <v>145</v>
      </c>
      <c r="D56" s="168" t="s">
        <v>23</v>
      </c>
      <c r="E56" s="169">
        <v>19</v>
      </c>
      <c r="F56" s="111">
        <f t="shared" ref="F56:F70" si="7">C56*D56*E56</f>
        <v>2755</v>
      </c>
      <c r="G56" s="182" t="s">
        <v>117</v>
      </c>
    </row>
    <row r="57" spans="1:7" ht="28.8">
      <c r="A57" s="214" t="s">
        <v>237</v>
      </c>
      <c r="B57" s="153" t="s">
        <v>238</v>
      </c>
      <c r="C57" s="154">
        <v>145</v>
      </c>
      <c r="D57" s="155" t="s">
        <v>23</v>
      </c>
      <c r="E57" s="162">
        <v>68</v>
      </c>
      <c r="F57" s="156">
        <f>C57*D57*E57</f>
        <v>9860</v>
      </c>
      <c r="G57" s="157" t="s">
        <v>114</v>
      </c>
    </row>
    <row r="58" spans="1:7" ht="43.2">
      <c r="A58" s="216"/>
      <c r="B58" s="153" t="s">
        <v>239</v>
      </c>
      <c r="C58" s="154">
        <v>145</v>
      </c>
      <c r="D58" s="155">
        <v>1</v>
      </c>
      <c r="E58" s="162">
        <v>50</v>
      </c>
      <c r="F58" s="156">
        <f>C58*D58*E58</f>
        <v>7250</v>
      </c>
      <c r="G58" s="157" t="s">
        <v>115</v>
      </c>
    </row>
    <row r="59" spans="1:7">
      <c r="A59" s="97" t="s">
        <v>236</v>
      </c>
      <c r="B59" s="179" t="s">
        <v>122</v>
      </c>
      <c r="C59" s="93">
        <v>1</v>
      </c>
      <c r="D59" s="168" t="s">
        <v>78</v>
      </c>
      <c r="E59" s="169">
        <v>0</v>
      </c>
      <c r="F59" s="111">
        <f t="shared" si="7"/>
        <v>0</v>
      </c>
      <c r="G59" s="181"/>
    </row>
    <row r="60" spans="1:7">
      <c r="A60" s="214" t="s">
        <v>240</v>
      </c>
      <c r="B60" s="105" t="s">
        <v>241</v>
      </c>
      <c r="C60" s="109">
        <v>145</v>
      </c>
      <c r="D60" s="110" t="s">
        <v>23</v>
      </c>
      <c r="E60" s="104">
        <v>61</v>
      </c>
      <c r="F60" s="104">
        <f>C60*D60*E60</f>
        <v>8845</v>
      </c>
      <c r="G60" s="96" t="s">
        <v>242</v>
      </c>
    </row>
    <row r="61" spans="1:7">
      <c r="A61" s="215"/>
      <c r="B61" s="105" t="s">
        <v>102</v>
      </c>
      <c r="C61" s="109">
        <v>145</v>
      </c>
      <c r="D61" s="110" t="s">
        <v>23</v>
      </c>
      <c r="E61" s="104">
        <v>68</v>
      </c>
      <c r="F61" s="104">
        <f>C61*D61*E61</f>
        <v>9860</v>
      </c>
      <c r="G61" s="96" t="s">
        <v>119</v>
      </c>
    </row>
    <row r="62" spans="1:7">
      <c r="A62" s="97" t="s">
        <v>243</v>
      </c>
      <c r="B62" s="105" t="s">
        <v>244</v>
      </c>
      <c r="C62" s="109">
        <v>145</v>
      </c>
      <c r="D62" s="108" t="s">
        <v>78</v>
      </c>
      <c r="E62" s="107">
        <v>163</v>
      </c>
      <c r="F62" s="107">
        <f t="shared" ref="F62:F68" si="8">C62*D62*E62</f>
        <v>0</v>
      </c>
      <c r="G62" s="96" t="s">
        <v>245</v>
      </c>
    </row>
    <row r="63" spans="1:7" ht="28.8">
      <c r="A63" s="97" t="s">
        <v>243</v>
      </c>
      <c r="B63" s="105" t="s">
        <v>246</v>
      </c>
      <c r="C63" s="109">
        <v>145</v>
      </c>
      <c r="D63" s="110" t="s">
        <v>23</v>
      </c>
      <c r="E63" s="104">
        <v>89</v>
      </c>
      <c r="F63" s="104">
        <f t="shared" si="8"/>
        <v>12905</v>
      </c>
      <c r="G63" s="96" t="s">
        <v>117</v>
      </c>
    </row>
    <row r="64" spans="1:7" ht="57.6">
      <c r="A64" s="97" t="s">
        <v>248</v>
      </c>
      <c r="B64" s="179" t="s">
        <v>247</v>
      </c>
      <c r="C64" s="93">
        <v>145</v>
      </c>
      <c r="D64" s="168" t="s">
        <v>23</v>
      </c>
      <c r="E64" s="169">
        <v>265</v>
      </c>
      <c r="F64" s="111">
        <f t="shared" si="8"/>
        <v>38425</v>
      </c>
      <c r="G64" s="182"/>
    </row>
    <row r="65" spans="1:7">
      <c r="A65" s="97"/>
      <c r="B65" s="179" t="s">
        <v>250</v>
      </c>
      <c r="C65" s="167">
        <v>1</v>
      </c>
      <c r="D65" s="168" t="s">
        <v>23</v>
      </c>
      <c r="E65" s="169">
        <v>17900</v>
      </c>
      <c r="F65" s="111">
        <f t="shared" si="8"/>
        <v>17900</v>
      </c>
      <c r="G65" s="48"/>
    </row>
    <row r="66" spans="1:7">
      <c r="A66" s="97"/>
      <c r="B66" s="179" t="s">
        <v>249</v>
      </c>
      <c r="C66" s="167">
        <v>1</v>
      </c>
      <c r="D66" s="168" t="s">
        <v>23</v>
      </c>
      <c r="E66" s="169">
        <v>900</v>
      </c>
      <c r="F66" s="170">
        <f t="shared" si="8"/>
        <v>900</v>
      </c>
      <c r="G66" s="48"/>
    </row>
    <row r="67" spans="1:7" ht="28.8">
      <c r="A67" s="97"/>
      <c r="B67" s="179" t="s">
        <v>123</v>
      </c>
      <c r="C67" s="167">
        <v>1</v>
      </c>
      <c r="D67" s="168" t="s">
        <v>23</v>
      </c>
      <c r="E67" s="169">
        <v>1450</v>
      </c>
      <c r="F67" s="111">
        <f t="shared" si="8"/>
        <v>1450</v>
      </c>
      <c r="G67" s="48" t="s">
        <v>121</v>
      </c>
    </row>
    <row r="68" spans="1:7">
      <c r="A68" s="97"/>
      <c r="B68" s="179" t="s">
        <v>251</v>
      </c>
      <c r="C68" s="167">
        <v>1</v>
      </c>
      <c r="D68" s="168" t="s">
        <v>23</v>
      </c>
      <c r="E68" s="169">
        <v>1200</v>
      </c>
      <c r="F68" s="170">
        <f t="shared" si="8"/>
        <v>1200</v>
      </c>
      <c r="G68" s="48"/>
    </row>
    <row r="69" spans="1:7" ht="28.8">
      <c r="A69" s="97"/>
      <c r="B69" s="179" t="s">
        <v>252</v>
      </c>
      <c r="C69" s="167">
        <v>1</v>
      </c>
      <c r="D69" s="168" t="s">
        <v>23</v>
      </c>
      <c r="E69" s="169">
        <v>3900</v>
      </c>
      <c r="F69" s="111">
        <f t="shared" si="7"/>
        <v>3900</v>
      </c>
      <c r="G69" s="48"/>
    </row>
    <row r="70" spans="1:7">
      <c r="A70" s="97"/>
      <c r="B70" s="179" t="s">
        <v>253</v>
      </c>
      <c r="C70" s="167">
        <v>1</v>
      </c>
      <c r="D70" s="168" t="s">
        <v>23</v>
      </c>
      <c r="E70" s="104">
        <v>7671</v>
      </c>
      <c r="F70" s="170">
        <f t="shared" si="7"/>
        <v>7671</v>
      </c>
      <c r="G70" s="48"/>
    </row>
    <row r="71" spans="1:7" ht="28.8">
      <c r="A71" s="97"/>
      <c r="B71" s="179" t="s">
        <v>252</v>
      </c>
      <c r="C71" s="167">
        <v>1</v>
      </c>
      <c r="D71" s="168" t="s">
        <v>23</v>
      </c>
      <c r="E71" s="169">
        <v>3900</v>
      </c>
      <c r="F71" s="111">
        <f t="shared" ref="F71:F72" si="9">C71*D71*E71</f>
        <v>3900</v>
      </c>
      <c r="G71" s="48"/>
    </row>
    <row r="72" spans="1:7">
      <c r="A72" s="97"/>
      <c r="B72" s="179" t="s">
        <v>180</v>
      </c>
      <c r="C72" s="184">
        <v>1</v>
      </c>
      <c r="D72" s="185" t="s">
        <v>23</v>
      </c>
      <c r="E72" s="186">
        <v>1800</v>
      </c>
      <c r="F72" s="101">
        <f t="shared" si="9"/>
        <v>1800</v>
      </c>
      <c r="G72" s="181" t="s">
        <v>181</v>
      </c>
    </row>
    <row r="73" spans="1:7">
      <c r="A73" s="97">
        <v>0</v>
      </c>
      <c r="B73" s="179" t="s">
        <v>184</v>
      </c>
      <c r="C73" s="184">
        <v>145</v>
      </c>
      <c r="D73" s="185" t="s">
        <v>23</v>
      </c>
      <c r="E73" s="186">
        <v>0</v>
      </c>
      <c r="F73" s="101">
        <f t="shared" ref="F73" si="10">C73*D73*E73</f>
        <v>0</v>
      </c>
      <c r="G73" s="181"/>
    </row>
    <row r="74" spans="1:7">
      <c r="A74" s="130" t="s">
        <v>219</v>
      </c>
      <c r="B74" s="147"/>
      <c r="C74" s="148"/>
      <c r="D74" s="149"/>
      <c r="E74" s="150"/>
      <c r="F74" s="29">
        <f>SUM(F53:F73)</f>
        <v>130856</v>
      </c>
      <c r="G74" s="160"/>
    </row>
    <row r="75" spans="1:7">
      <c r="A75" s="97"/>
      <c r="B75" s="136" t="s">
        <v>38</v>
      </c>
      <c r="C75" s="93">
        <v>145</v>
      </c>
      <c r="D75" s="137">
        <v>1</v>
      </c>
      <c r="E75" s="138">
        <v>0</v>
      </c>
      <c r="F75" s="101">
        <f t="shared" ref="F75" si="11">C75*D75*E75</f>
        <v>0</v>
      </c>
      <c r="G75" s="94" t="s">
        <v>39</v>
      </c>
    </row>
    <row r="76" spans="1:7">
      <c r="A76" s="145">
        <v>0.5</v>
      </c>
      <c r="B76" s="176" t="s">
        <v>201</v>
      </c>
      <c r="C76" s="177">
        <v>145</v>
      </c>
      <c r="D76" s="192" t="s">
        <v>23</v>
      </c>
      <c r="E76" s="170">
        <v>0</v>
      </c>
      <c r="F76" s="170">
        <f>C76*D76*E76</f>
        <v>0</v>
      </c>
      <c r="G76" s="175" t="s">
        <v>111</v>
      </c>
    </row>
    <row r="77" spans="1:7">
      <c r="A77" s="97"/>
      <c r="B77" s="105" t="s">
        <v>254</v>
      </c>
      <c r="C77" s="109">
        <v>3</v>
      </c>
      <c r="D77" s="152" t="s">
        <v>23</v>
      </c>
      <c r="E77" s="104">
        <v>235</v>
      </c>
      <c r="F77" s="104">
        <f t="shared" ref="F77" si="12">C77*D77*E77</f>
        <v>705</v>
      </c>
      <c r="G77" s="96" t="s">
        <v>101</v>
      </c>
    </row>
    <row r="78" spans="1:7" ht="28.8">
      <c r="A78" s="97"/>
      <c r="B78" s="95" t="s">
        <v>202</v>
      </c>
      <c r="C78" s="102">
        <v>3</v>
      </c>
      <c r="D78" s="183" t="s">
        <v>78</v>
      </c>
      <c r="E78" s="107">
        <v>130</v>
      </c>
      <c r="F78" s="107">
        <f>C78*D78*E78</f>
        <v>0</v>
      </c>
      <c r="G78" s="96" t="s">
        <v>99</v>
      </c>
    </row>
    <row r="79" spans="1:7">
      <c r="A79" s="97"/>
      <c r="B79" s="105" t="s">
        <v>255</v>
      </c>
      <c r="C79" s="109">
        <v>1</v>
      </c>
      <c r="D79" s="106" t="s">
        <v>78</v>
      </c>
      <c r="E79" s="107">
        <v>230</v>
      </c>
      <c r="F79" s="107">
        <f t="shared" ref="F79:F83" si="13">C79*D79*E79</f>
        <v>0</v>
      </c>
      <c r="G79" s="96" t="s">
        <v>101</v>
      </c>
    </row>
    <row r="80" spans="1:7" ht="28.8">
      <c r="A80" s="97"/>
      <c r="B80" s="105" t="s">
        <v>256</v>
      </c>
      <c r="C80" s="109">
        <v>1</v>
      </c>
      <c r="D80" s="106" t="s">
        <v>78</v>
      </c>
      <c r="E80" s="107">
        <v>115</v>
      </c>
      <c r="F80" s="107">
        <f t="shared" si="13"/>
        <v>0</v>
      </c>
      <c r="G80" s="96" t="s">
        <v>101</v>
      </c>
    </row>
    <row r="81" spans="1:7" ht="28.8">
      <c r="A81" s="97"/>
      <c r="B81" s="105" t="s">
        <v>257</v>
      </c>
      <c r="C81" s="109">
        <v>1</v>
      </c>
      <c r="D81" s="106" t="s">
        <v>78</v>
      </c>
      <c r="E81" s="107">
        <v>390</v>
      </c>
      <c r="F81" s="107">
        <f t="shared" si="13"/>
        <v>0</v>
      </c>
      <c r="G81" s="96" t="s">
        <v>101</v>
      </c>
    </row>
    <row r="82" spans="1:7" ht="28.8">
      <c r="A82" s="97"/>
      <c r="B82" s="105" t="s">
        <v>258</v>
      </c>
      <c r="C82" s="109">
        <v>1</v>
      </c>
      <c r="D82" s="106" t="s">
        <v>78</v>
      </c>
      <c r="E82" s="107">
        <v>75</v>
      </c>
      <c r="F82" s="107">
        <f t="shared" si="13"/>
        <v>0</v>
      </c>
      <c r="G82" s="96" t="s">
        <v>101</v>
      </c>
    </row>
    <row r="83" spans="1:7" ht="28.8">
      <c r="A83" s="97"/>
      <c r="B83" s="105" t="s">
        <v>259</v>
      </c>
      <c r="C83" s="109">
        <v>1</v>
      </c>
      <c r="D83" s="106" t="s">
        <v>78</v>
      </c>
      <c r="E83" s="107">
        <v>200</v>
      </c>
      <c r="F83" s="107">
        <f t="shared" si="13"/>
        <v>0</v>
      </c>
      <c r="G83" s="96" t="s">
        <v>101</v>
      </c>
    </row>
    <row r="84" spans="1:7" ht="15" thickBot="1">
      <c r="A84" s="130"/>
      <c r="B84" s="130"/>
      <c r="C84" s="130"/>
      <c r="D84" s="130"/>
      <c r="E84" s="130"/>
      <c r="F84" s="29">
        <f>SUM(F75:F83)</f>
        <v>705</v>
      </c>
      <c r="G84" s="130"/>
    </row>
    <row r="85" spans="1:7" ht="15" thickBot="1">
      <c r="A85" s="139"/>
      <c r="B85" s="122" t="s">
        <v>86</v>
      </c>
      <c r="C85" s="123"/>
      <c r="D85" s="124"/>
      <c r="E85" s="125"/>
      <c r="F85" s="140">
        <f>F84+F74+F52+F30+F14</f>
        <v>533476</v>
      </c>
      <c r="G85" s="141"/>
    </row>
    <row r="86" spans="1:7" ht="15" thickBot="1">
      <c r="A86" s="139"/>
      <c r="B86" s="122" t="s">
        <v>87</v>
      </c>
      <c r="C86" s="123"/>
      <c r="D86" s="124"/>
      <c r="E86" s="125"/>
      <c r="F86" s="140">
        <f>F85</f>
        <v>533476</v>
      </c>
      <c r="G86" s="141"/>
    </row>
    <row r="87" spans="1:7" ht="15" thickBot="1">
      <c r="A87" s="139"/>
      <c r="B87" s="122" t="s">
        <v>118</v>
      </c>
      <c r="C87" s="123"/>
      <c r="D87" s="124"/>
      <c r="E87" s="125"/>
      <c r="F87" s="140">
        <f>F86/145</f>
        <v>3679.1448275862067</v>
      </c>
      <c r="G87" s="141"/>
    </row>
    <row r="90" spans="1:7">
      <c r="A90" s="58" t="s">
        <v>89</v>
      </c>
      <c r="B90" s="6"/>
      <c r="C90" s="6"/>
      <c r="D90" s="6"/>
      <c r="E90" s="6"/>
      <c r="F90" s="6"/>
      <c r="G90" s="6"/>
    </row>
    <row r="91" spans="1:7">
      <c r="A91" s="200" t="s">
        <v>90</v>
      </c>
      <c r="B91" s="200"/>
      <c r="C91" s="200"/>
      <c r="D91" s="200"/>
      <c r="E91" s="200"/>
      <c r="F91" s="5"/>
    </row>
    <row r="92" spans="1:7">
      <c r="A92" s="5" t="s">
        <v>91</v>
      </c>
      <c r="B92" s="5"/>
      <c r="C92" s="5"/>
      <c r="D92" s="5"/>
      <c r="E92" s="5"/>
      <c r="F92" s="5"/>
    </row>
    <row r="93" spans="1:7">
      <c r="A93" s="2" t="s">
        <v>92</v>
      </c>
      <c r="B93" s="6"/>
      <c r="C93" s="60"/>
      <c r="D93" s="6"/>
      <c r="E93" s="6"/>
      <c r="F93" s="6"/>
    </row>
    <row r="94" spans="1:7">
      <c r="A94" s="2" t="s">
        <v>93</v>
      </c>
      <c r="B94" s="6"/>
      <c r="C94" s="60"/>
      <c r="D94" s="6"/>
      <c r="E94" s="6"/>
      <c r="F94" s="6"/>
    </row>
  </sheetData>
  <mergeCells count="12">
    <mergeCell ref="G12:G13"/>
    <mergeCell ref="A24:A25"/>
    <mergeCell ref="A60:A61"/>
    <mergeCell ref="A91:E91"/>
    <mergeCell ref="A5:C5"/>
    <mergeCell ref="A6:C6"/>
    <mergeCell ref="A8:C8"/>
    <mergeCell ref="A34:A35"/>
    <mergeCell ref="A36:A39"/>
    <mergeCell ref="A40:A43"/>
    <mergeCell ref="A44:A47"/>
    <mergeCell ref="A57:A5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68AA-2138-4F7F-831F-4E9D3BFA6D2D}">
  <dimension ref="A2:G102"/>
  <sheetViews>
    <sheetView workbookViewId="0">
      <selection activeCell="B1" sqref="B1"/>
    </sheetView>
  </sheetViews>
  <sheetFormatPr defaultColWidth="9.109375" defaultRowHeight="14.4"/>
  <cols>
    <col min="1" max="1" width="24.44140625" style="1" customWidth="1"/>
    <col min="2" max="2" width="38.5546875" style="1" customWidth="1"/>
    <col min="3" max="3" width="7.44140625" style="1" bestFit="1" customWidth="1"/>
    <col min="4" max="4" width="13.5546875" style="1" customWidth="1"/>
    <col min="5" max="5" width="28.6640625" style="1" bestFit="1" customWidth="1"/>
    <col min="6" max="6" width="28.6640625" style="1" customWidth="1"/>
    <col min="7" max="7" width="52.5546875" style="1" customWidth="1"/>
    <col min="8" max="16384" width="9.109375" style="1"/>
  </cols>
  <sheetData>
    <row r="2" spans="1:7">
      <c r="D2" s="2"/>
      <c r="E2" s="92"/>
    </row>
    <row r="3" spans="1:7">
      <c r="D3" s="2"/>
      <c r="E3" s="4"/>
      <c r="F3" s="3"/>
    </row>
    <row r="4" spans="1:7">
      <c r="D4" s="3"/>
      <c r="E4" s="4"/>
      <c r="F4" s="4"/>
    </row>
    <row r="5" spans="1:7">
      <c r="A5" s="209" t="s">
        <v>126</v>
      </c>
      <c r="B5" s="209"/>
      <c r="C5" s="209"/>
      <c r="D5" s="3" t="s">
        <v>94</v>
      </c>
      <c r="E5" s="3" t="s">
        <v>124</v>
      </c>
      <c r="F5" s="3"/>
      <c r="G5" s="115"/>
    </row>
    <row r="6" spans="1:7">
      <c r="A6" s="210" t="s">
        <v>104</v>
      </c>
      <c r="B6" s="210"/>
      <c r="C6" s="210"/>
      <c r="D6" s="3" t="s">
        <v>2</v>
      </c>
      <c r="E6" s="4" t="s">
        <v>125</v>
      </c>
      <c r="F6" s="116"/>
      <c r="G6" s="115"/>
    </row>
    <row r="7" spans="1:7">
      <c r="A7" s="146" t="s">
        <v>107</v>
      </c>
      <c r="B7" s="117"/>
      <c r="C7" s="113"/>
      <c r="D7" s="3"/>
      <c r="E7" s="3"/>
      <c r="F7" s="3"/>
      <c r="G7" s="115"/>
    </row>
    <row r="8" spans="1:7">
      <c r="A8" s="211" t="s">
        <v>212</v>
      </c>
      <c r="B8" s="210"/>
      <c r="C8" s="210"/>
      <c r="D8" s="114"/>
      <c r="E8" s="4"/>
      <c r="F8" s="116"/>
      <c r="G8" s="115"/>
    </row>
    <row r="9" spans="1:7">
      <c r="A9" s="118" t="s">
        <v>105</v>
      </c>
      <c r="B9" s="119"/>
      <c r="C9" s="119"/>
      <c r="D9" s="119"/>
      <c r="E9" s="119"/>
      <c r="F9" s="119"/>
      <c r="G9" s="119"/>
    </row>
    <row r="10" spans="1:7" ht="15" thickBot="1">
      <c r="A10" s="120" t="s">
        <v>106</v>
      </c>
      <c r="B10" s="142"/>
      <c r="C10" s="143"/>
      <c r="D10" s="120"/>
      <c r="E10" s="144"/>
      <c r="F10" s="144"/>
      <c r="G10" s="142"/>
    </row>
    <row r="11" spans="1:7" ht="29.4" thickBot="1">
      <c r="A11" s="121" t="s">
        <v>10</v>
      </c>
      <c r="B11" s="122" t="s">
        <v>11</v>
      </c>
      <c r="C11" s="123" t="s">
        <v>12</v>
      </c>
      <c r="D11" s="124" t="s">
        <v>13</v>
      </c>
      <c r="E11" s="125" t="s">
        <v>14</v>
      </c>
      <c r="F11" s="126" t="s">
        <v>15</v>
      </c>
      <c r="G11" s="127" t="s">
        <v>16</v>
      </c>
    </row>
    <row r="12" spans="1:7">
      <c r="A12" s="128"/>
      <c r="B12" s="128" t="s">
        <v>109</v>
      </c>
      <c r="C12" s="98">
        <v>10</v>
      </c>
      <c r="D12" s="103" t="s">
        <v>18</v>
      </c>
      <c r="E12" s="129">
        <v>410</v>
      </c>
      <c r="F12" s="111">
        <f>C12*D12*E12</f>
        <v>12300</v>
      </c>
      <c r="G12" s="212" t="s">
        <v>95</v>
      </c>
    </row>
    <row r="13" spans="1:7" ht="28.8">
      <c r="A13" s="128"/>
      <c r="B13" s="128" t="s">
        <v>110</v>
      </c>
      <c r="C13" s="98">
        <v>75</v>
      </c>
      <c r="D13" s="103" t="s">
        <v>18</v>
      </c>
      <c r="E13" s="129">
        <v>438</v>
      </c>
      <c r="F13" s="111">
        <f>C13*D13*E13</f>
        <v>98550</v>
      </c>
      <c r="G13" s="213"/>
    </row>
    <row r="14" spans="1:7">
      <c r="A14" s="130" t="s">
        <v>127</v>
      </c>
      <c r="B14" s="131"/>
      <c r="C14" s="132"/>
      <c r="D14" s="133"/>
      <c r="E14" s="134"/>
      <c r="F14" s="29">
        <f>SUM(F12:F13)</f>
        <v>110850</v>
      </c>
      <c r="G14" s="135"/>
    </row>
    <row r="15" spans="1:7" ht="28.8">
      <c r="A15" s="97"/>
      <c r="B15" s="95" t="s">
        <v>96</v>
      </c>
      <c r="C15" s="98">
        <v>3</v>
      </c>
      <c r="D15" s="99" t="s">
        <v>23</v>
      </c>
      <c r="E15" s="100">
        <v>0</v>
      </c>
      <c r="F15" s="101">
        <f t="shared" ref="F15:F24" si="0">C15*D15*E15</f>
        <v>0</v>
      </c>
      <c r="G15" s="96" t="s">
        <v>128</v>
      </c>
    </row>
    <row r="16" spans="1:7" ht="28.8">
      <c r="A16" s="97"/>
      <c r="B16" s="105" t="s">
        <v>100</v>
      </c>
      <c r="C16" s="109">
        <v>3</v>
      </c>
      <c r="D16" s="152" t="s">
        <v>23</v>
      </c>
      <c r="E16" s="104">
        <v>235</v>
      </c>
      <c r="F16" s="104">
        <f t="shared" si="0"/>
        <v>705</v>
      </c>
      <c r="G16" s="96" t="s">
        <v>101</v>
      </c>
    </row>
    <row r="17" spans="1:7">
      <c r="A17" s="97"/>
      <c r="B17" s="95" t="s">
        <v>98</v>
      </c>
      <c r="C17" s="102">
        <v>3</v>
      </c>
      <c r="D17" s="183" t="s">
        <v>78</v>
      </c>
      <c r="E17" s="107">
        <v>120</v>
      </c>
      <c r="F17" s="107">
        <f>C17*D17*E17</f>
        <v>0</v>
      </c>
      <c r="G17" s="96" t="s">
        <v>99</v>
      </c>
    </row>
    <row r="18" spans="1:7" ht="28.8">
      <c r="A18" s="97"/>
      <c r="B18" s="105" t="s">
        <v>129</v>
      </c>
      <c r="C18" s="109">
        <v>1</v>
      </c>
      <c r="D18" s="106" t="s">
        <v>78</v>
      </c>
      <c r="E18" s="107">
        <v>200</v>
      </c>
      <c r="F18" s="107">
        <f t="shared" ref="F18" si="1">C18*D18*E18</f>
        <v>0</v>
      </c>
      <c r="G18" s="96" t="s">
        <v>101</v>
      </c>
    </row>
    <row r="19" spans="1:7" ht="28.8">
      <c r="A19" s="97"/>
      <c r="B19" s="105" t="s">
        <v>130</v>
      </c>
      <c r="C19" s="109">
        <v>1</v>
      </c>
      <c r="D19" s="106" t="s">
        <v>78</v>
      </c>
      <c r="E19" s="107">
        <v>110</v>
      </c>
      <c r="F19" s="107">
        <f t="shared" ref="F19" si="2">C19*D19*E19</f>
        <v>0</v>
      </c>
      <c r="G19" s="96" t="s">
        <v>101</v>
      </c>
    </row>
    <row r="20" spans="1:7" ht="28.8">
      <c r="A20" s="97"/>
      <c r="B20" s="105" t="s">
        <v>131</v>
      </c>
      <c r="C20" s="109">
        <v>1</v>
      </c>
      <c r="D20" s="106" t="s">
        <v>78</v>
      </c>
      <c r="E20" s="107">
        <v>320</v>
      </c>
      <c r="F20" s="107">
        <f t="shared" ref="F20:F21" si="3">C20*D20*E20</f>
        <v>0</v>
      </c>
      <c r="G20" s="96" t="s">
        <v>101</v>
      </c>
    </row>
    <row r="21" spans="1:7" ht="28.8">
      <c r="A21" s="97"/>
      <c r="B21" s="105" t="s">
        <v>132</v>
      </c>
      <c r="C21" s="109">
        <v>1</v>
      </c>
      <c r="D21" s="106" t="s">
        <v>78</v>
      </c>
      <c r="E21" s="107">
        <v>65</v>
      </c>
      <c r="F21" s="107">
        <f t="shared" si="3"/>
        <v>0</v>
      </c>
      <c r="G21" s="96" t="s">
        <v>101</v>
      </c>
    </row>
    <row r="22" spans="1:7" ht="28.8">
      <c r="A22" s="97"/>
      <c r="B22" s="105" t="s">
        <v>133</v>
      </c>
      <c r="C22" s="109">
        <v>1</v>
      </c>
      <c r="D22" s="106" t="s">
        <v>78</v>
      </c>
      <c r="E22" s="107">
        <v>165</v>
      </c>
      <c r="F22" s="107">
        <f t="shared" ref="F22" si="4">C22*D22*E22</f>
        <v>0</v>
      </c>
      <c r="G22" s="96" t="s">
        <v>101</v>
      </c>
    </row>
    <row r="23" spans="1:7">
      <c r="A23" s="145"/>
      <c r="B23" s="105" t="s">
        <v>134</v>
      </c>
      <c r="C23" s="109">
        <v>1</v>
      </c>
      <c r="D23" s="110" t="s">
        <v>23</v>
      </c>
      <c r="E23" s="104">
        <v>0</v>
      </c>
      <c r="F23" s="104">
        <f t="shared" si="0"/>
        <v>0</v>
      </c>
      <c r="G23" s="96"/>
    </row>
    <row r="24" spans="1:7">
      <c r="A24" s="145"/>
      <c r="B24" s="166" t="s">
        <v>137</v>
      </c>
      <c r="C24" s="167">
        <v>1</v>
      </c>
      <c r="D24" s="168" t="s">
        <v>23</v>
      </c>
      <c r="E24" s="169">
        <v>6850</v>
      </c>
      <c r="F24" s="170">
        <f t="shared" si="0"/>
        <v>6850</v>
      </c>
      <c r="G24" s="171" t="s">
        <v>138</v>
      </c>
    </row>
    <row r="25" spans="1:7" s="112" customFormat="1">
      <c r="A25" s="158"/>
      <c r="B25" s="166" t="s">
        <v>135</v>
      </c>
      <c r="C25" s="167">
        <v>145</v>
      </c>
      <c r="D25" s="168" t="s">
        <v>23</v>
      </c>
      <c r="E25" s="169">
        <v>55</v>
      </c>
      <c r="F25" s="170">
        <f t="shared" ref="F25:F26" si="5">C25*D25*E25</f>
        <v>7975</v>
      </c>
      <c r="G25" s="94" t="s">
        <v>136</v>
      </c>
    </row>
    <row r="26" spans="1:7" s="112" customFormat="1">
      <c r="A26" s="159"/>
      <c r="B26" s="166" t="s">
        <v>102</v>
      </c>
      <c r="C26" s="167">
        <v>145</v>
      </c>
      <c r="D26" s="168" t="s">
        <v>23</v>
      </c>
      <c r="E26" s="169">
        <v>65</v>
      </c>
      <c r="F26" s="170">
        <f t="shared" si="5"/>
        <v>9425</v>
      </c>
      <c r="G26" s="171" t="s">
        <v>103</v>
      </c>
    </row>
    <row r="27" spans="1:7" ht="129.6">
      <c r="A27" s="145" t="s">
        <v>139</v>
      </c>
      <c r="B27" s="166" t="s">
        <v>140</v>
      </c>
      <c r="C27" s="167">
        <v>1</v>
      </c>
      <c r="D27" s="168" t="s">
        <v>23</v>
      </c>
      <c r="E27" s="169">
        <v>41000</v>
      </c>
      <c r="F27" s="170">
        <f t="shared" ref="F27" si="6">C27*D27*E27</f>
        <v>41000</v>
      </c>
      <c r="G27" s="171" t="s">
        <v>141</v>
      </c>
    </row>
    <row r="28" spans="1:7">
      <c r="A28" s="130" t="s">
        <v>142</v>
      </c>
      <c r="B28" s="130"/>
      <c r="C28" s="130"/>
      <c r="D28" s="130"/>
      <c r="E28" s="130"/>
      <c r="F28" s="29">
        <f>SUM(F15:F27)</f>
        <v>65955</v>
      </c>
      <c r="G28" s="130"/>
    </row>
    <row r="29" spans="1:7">
      <c r="A29" s="97"/>
      <c r="B29" s="136" t="s">
        <v>38</v>
      </c>
      <c r="C29" s="93">
        <v>145</v>
      </c>
      <c r="D29" s="137">
        <v>1</v>
      </c>
      <c r="E29" s="138">
        <v>0</v>
      </c>
      <c r="F29" s="101">
        <f t="shared" ref="F29:F35" si="7">C29*D29*E29</f>
        <v>0</v>
      </c>
      <c r="G29" s="94" t="s">
        <v>39</v>
      </c>
    </row>
    <row r="30" spans="1:7" ht="28.8">
      <c r="A30" s="145" t="s">
        <v>113</v>
      </c>
      <c r="B30" s="172" t="s">
        <v>143</v>
      </c>
      <c r="C30" s="173">
        <v>145</v>
      </c>
      <c r="D30" s="174" t="s">
        <v>23</v>
      </c>
      <c r="E30" s="170">
        <v>80</v>
      </c>
      <c r="F30" s="101">
        <f t="shared" si="7"/>
        <v>11600</v>
      </c>
      <c r="G30" s="175" t="s">
        <v>144</v>
      </c>
    </row>
    <row r="31" spans="1:7">
      <c r="A31" s="97"/>
      <c r="B31" s="176" t="s">
        <v>112</v>
      </c>
      <c r="C31" s="177">
        <v>1</v>
      </c>
      <c r="D31" s="178" t="s">
        <v>23</v>
      </c>
      <c r="E31" s="170">
        <v>0</v>
      </c>
      <c r="F31" s="111">
        <f t="shared" si="7"/>
        <v>0</v>
      </c>
      <c r="G31" s="175" t="s">
        <v>101</v>
      </c>
    </row>
    <row r="32" spans="1:7" ht="30" customHeight="1">
      <c r="A32" s="203" t="s">
        <v>280</v>
      </c>
      <c r="B32" s="176" t="s">
        <v>145</v>
      </c>
      <c r="C32" s="177">
        <v>145</v>
      </c>
      <c r="D32" s="195" t="s">
        <v>78</v>
      </c>
      <c r="E32" s="196">
        <v>90</v>
      </c>
      <c r="F32" s="180">
        <f t="shared" si="7"/>
        <v>0</v>
      </c>
      <c r="G32" s="175" t="s">
        <v>136</v>
      </c>
    </row>
    <row r="33" spans="1:7" ht="28.8">
      <c r="A33" s="204"/>
      <c r="B33" s="176" t="s">
        <v>146</v>
      </c>
      <c r="C33" s="177">
        <v>145</v>
      </c>
      <c r="D33" s="195" t="s">
        <v>78</v>
      </c>
      <c r="E33" s="196">
        <v>90</v>
      </c>
      <c r="F33" s="180">
        <f t="shared" ref="F33" si="8">C33*D33*E33</f>
        <v>0</v>
      </c>
      <c r="G33" s="175"/>
    </row>
    <row r="34" spans="1:7" ht="28.8">
      <c r="A34" s="204"/>
      <c r="B34" s="176" t="s">
        <v>147</v>
      </c>
      <c r="C34" s="177">
        <v>1</v>
      </c>
      <c r="D34" s="195" t="s">
        <v>78</v>
      </c>
      <c r="E34" s="196">
        <v>18465</v>
      </c>
      <c r="F34" s="180">
        <f t="shared" ref="F34" si="9">C34*D34*E34</f>
        <v>0</v>
      </c>
      <c r="G34" s="175"/>
    </row>
    <row r="35" spans="1:7">
      <c r="A35" s="203" t="s">
        <v>281</v>
      </c>
      <c r="B35" s="105" t="s">
        <v>194</v>
      </c>
      <c r="C35" s="109">
        <v>145</v>
      </c>
      <c r="D35" s="110" t="s">
        <v>18</v>
      </c>
      <c r="E35" s="104">
        <v>295</v>
      </c>
      <c r="F35" s="104">
        <f t="shared" si="7"/>
        <v>128325</v>
      </c>
      <c r="G35" s="96"/>
    </row>
    <row r="36" spans="1:7" ht="30" customHeight="1">
      <c r="A36" s="207"/>
      <c r="B36" s="194" t="s">
        <v>272</v>
      </c>
      <c r="C36" s="177">
        <v>145</v>
      </c>
      <c r="D36" s="197" t="s">
        <v>23</v>
      </c>
      <c r="E36" s="129">
        <v>130</v>
      </c>
      <c r="F36" s="101">
        <f t="shared" ref="F36" si="10">C36*D36*E36</f>
        <v>18850</v>
      </c>
      <c r="G36" s="175" t="s">
        <v>273</v>
      </c>
    </row>
    <row r="37" spans="1:7" ht="28.8">
      <c r="A37" s="207"/>
      <c r="B37" s="194" t="s">
        <v>146</v>
      </c>
      <c r="C37" s="177">
        <v>145</v>
      </c>
      <c r="D37" s="197" t="s">
        <v>23</v>
      </c>
      <c r="E37" s="129">
        <v>145</v>
      </c>
      <c r="F37" s="101">
        <f t="shared" ref="F37" si="11">C37*D37*E37</f>
        <v>21025</v>
      </c>
      <c r="G37" s="175"/>
    </row>
    <row r="38" spans="1:7">
      <c r="A38" s="208"/>
      <c r="B38" s="194" t="s">
        <v>287</v>
      </c>
      <c r="C38" s="177">
        <v>1</v>
      </c>
      <c r="D38" s="178" t="s">
        <v>23</v>
      </c>
      <c r="E38" s="170">
        <v>8900</v>
      </c>
      <c r="F38" s="111">
        <f>C38*D38*E38</f>
        <v>8900</v>
      </c>
      <c r="G38" s="175"/>
    </row>
    <row r="39" spans="1:7">
      <c r="A39" s="203" t="s">
        <v>282</v>
      </c>
      <c r="B39" s="105" t="s">
        <v>194</v>
      </c>
      <c r="C39" s="109">
        <v>145</v>
      </c>
      <c r="D39" s="110" t="s">
        <v>18</v>
      </c>
      <c r="E39" s="104">
        <v>295</v>
      </c>
      <c r="F39" s="104">
        <f t="shared" ref="F39:F42" si="12">C39*D39*E39</f>
        <v>128325</v>
      </c>
      <c r="G39" s="96"/>
    </row>
    <row r="40" spans="1:7" ht="30" customHeight="1">
      <c r="A40" s="207"/>
      <c r="B40" s="194" t="s">
        <v>289</v>
      </c>
      <c r="C40" s="177">
        <v>145</v>
      </c>
      <c r="D40" s="195" t="s">
        <v>78</v>
      </c>
      <c r="E40" s="196">
        <v>48350</v>
      </c>
      <c r="F40" s="180">
        <f t="shared" si="12"/>
        <v>0</v>
      </c>
      <c r="G40" s="175" t="s">
        <v>290</v>
      </c>
    </row>
    <row r="41" spans="1:7" ht="30" customHeight="1">
      <c r="A41" s="207"/>
      <c r="B41" s="194" t="s">
        <v>288</v>
      </c>
      <c r="C41" s="177">
        <v>145</v>
      </c>
      <c r="D41" s="195" t="s">
        <v>78</v>
      </c>
      <c r="E41" s="196">
        <v>153</v>
      </c>
      <c r="F41" s="180">
        <f t="shared" si="12"/>
        <v>0</v>
      </c>
      <c r="G41" s="175"/>
    </row>
    <row r="42" spans="1:7" ht="28.8">
      <c r="A42" s="208"/>
      <c r="B42" s="194" t="s">
        <v>146</v>
      </c>
      <c r="C42" s="177">
        <v>145</v>
      </c>
      <c r="D42" s="195" t="s">
        <v>78</v>
      </c>
      <c r="E42" s="196">
        <v>145</v>
      </c>
      <c r="F42" s="180">
        <f t="shared" si="12"/>
        <v>0</v>
      </c>
      <c r="G42" s="175"/>
    </row>
    <row r="43" spans="1:7">
      <c r="A43" s="97"/>
      <c r="B43" s="179" t="s">
        <v>122</v>
      </c>
      <c r="C43" s="184">
        <v>1</v>
      </c>
      <c r="D43" s="185" t="s">
        <v>23</v>
      </c>
      <c r="E43" s="186">
        <v>900</v>
      </c>
      <c r="F43" s="101">
        <f t="shared" ref="F43:F44" si="13">C43*D43*E43</f>
        <v>900</v>
      </c>
      <c r="G43" s="181"/>
    </row>
    <row r="44" spans="1:7">
      <c r="A44" s="97"/>
      <c r="B44" s="179" t="s">
        <v>123</v>
      </c>
      <c r="C44" s="187">
        <v>1</v>
      </c>
      <c r="D44" s="185" t="s">
        <v>23</v>
      </c>
      <c r="E44" s="186">
        <v>1300</v>
      </c>
      <c r="F44" s="101">
        <f t="shared" si="13"/>
        <v>1300</v>
      </c>
      <c r="G44" s="48"/>
    </row>
    <row r="45" spans="1:7">
      <c r="A45" s="97"/>
      <c r="B45" s="179" t="s">
        <v>148</v>
      </c>
      <c r="C45" s="184">
        <v>1</v>
      </c>
      <c r="D45" s="185" t="s">
        <v>23</v>
      </c>
      <c r="E45" s="186">
        <v>600</v>
      </c>
      <c r="F45" s="101">
        <f t="shared" ref="F45:F46" si="14">C45*D45*E45</f>
        <v>600</v>
      </c>
      <c r="G45" s="181"/>
    </row>
    <row r="46" spans="1:7">
      <c r="A46" s="97"/>
      <c r="B46" s="179" t="s">
        <v>149</v>
      </c>
      <c r="C46" s="187">
        <v>1</v>
      </c>
      <c r="D46" s="185" t="s">
        <v>23</v>
      </c>
      <c r="E46" s="186">
        <v>900</v>
      </c>
      <c r="F46" s="101">
        <f t="shared" si="14"/>
        <v>900</v>
      </c>
      <c r="G46" s="48"/>
    </row>
    <row r="47" spans="1:7">
      <c r="A47" s="188" t="s">
        <v>186</v>
      </c>
      <c r="B47" s="147"/>
      <c r="C47" s="148"/>
      <c r="D47" s="149"/>
      <c r="E47" s="150"/>
      <c r="F47" s="29">
        <f>SUM(F29:F46)</f>
        <v>320725</v>
      </c>
      <c r="G47" s="151"/>
    </row>
    <row r="48" spans="1:7">
      <c r="A48" s="97"/>
      <c r="B48" s="136" t="s">
        <v>38</v>
      </c>
      <c r="C48" s="93">
        <v>145</v>
      </c>
      <c r="D48" s="137">
        <v>1</v>
      </c>
      <c r="E48" s="138">
        <v>0</v>
      </c>
      <c r="F48" s="101">
        <f t="shared" ref="F48:F63" si="15">C48*D48*E48</f>
        <v>0</v>
      </c>
      <c r="G48" s="94" t="s">
        <v>39</v>
      </c>
    </row>
    <row r="49" spans="1:7">
      <c r="A49" s="97" t="s">
        <v>152</v>
      </c>
      <c r="B49" s="105" t="s">
        <v>150</v>
      </c>
      <c r="C49" s="109">
        <v>3</v>
      </c>
      <c r="D49" s="110" t="s">
        <v>23</v>
      </c>
      <c r="E49" s="104">
        <v>325</v>
      </c>
      <c r="F49" s="104">
        <f t="shared" si="15"/>
        <v>975</v>
      </c>
      <c r="G49" s="96"/>
    </row>
    <row r="50" spans="1:7">
      <c r="A50" s="97" t="s">
        <v>153</v>
      </c>
      <c r="B50" s="105" t="s">
        <v>151</v>
      </c>
      <c r="C50" s="109">
        <v>3</v>
      </c>
      <c r="D50" s="110" t="s">
        <v>23</v>
      </c>
      <c r="E50" s="104">
        <v>320</v>
      </c>
      <c r="F50" s="104">
        <f t="shared" si="15"/>
        <v>960</v>
      </c>
      <c r="G50" s="96"/>
    </row>
    <row r="51" spans="1:7">
      <c r="A51" s="206" t="s">
        <v>157</v>
      </c>
      <c r="B51" s="136" t="s">
        <v>155</v>
      </c>
      <c r="C51" s="93">
        <v>145</v>
      </c>
      <c r="D51" s="189">
        <v>0</v>
      </c>
      <c r="E51" s="190">
        <v>110</v>
      </c>
      <c r="F51" s="180">
        <f t="shared" si="15"/>
        <v>0</v>
      </c>
      <c r="G51" s="94" t="s">
        <v>154</v>
      </c>
    </row>
    <row r="52" spans="1:7">
      <c r="A52" s="208"/>
      <c r="B52" s="136" t="s">
        <v>156</v>
      </c>
      <c r="C52" s="93">
        <v>145</v>
      </c>
      <c r="D52" s="137">
        <v>1</v>
      </c>
      <c r="E52" s="138">
        <v>41</v>
      </c>
      <c r="F52" s="101">
        <f t="shared" si="15"/>
        <v>5945</v>
      </c>
      <c r="G52" s="94" t="s">
        <v>154</v>
      </c>
    </row>
    <row r="53" spans="1:7" ht="43.2">
      <c r="A53" s="97" t="s">
        <v>158</v>
      </c>
      <c r="B53" s="105" t="s">
        <v>159</v>
      </c>
      <c r="C53" s="109">
        <v>145</v>
      </c>
      <c r="D53" s="110" t="s">
        <v>23</v>
      </c>
      <c r="E53" s="104">
        <v>175</v>
      </c>
      <c r="F53" s="104">
        <f t="shared" si="15"/>
        <v>25375</v>
      </c>
      <c r="G53" s="96"/>
    </row>
    <row r="54" spans="1:7" ht="28.8">
      <c r="A54" s="97" t="s">
        <v>183</v>
      </c>
      <c r="B54" s="105" t="s">
        <v>160</v>
      </c>
      <c r="C54" s="109">
        <v>31</v>
      </c>
      <c r="D54" s="110" t="s">
        <v>23</v>
      </c>
      <c r="E54" s="104">
        <v>400</v>
      </c>
      <c r="F54" s="104">
        <f t="shared" si="15"/>
        <v>12400</v>
      </c>
      <c r="G54" s="96" t="s">
        <v>161</v>
      </c>
    </row>
    <row r="55" spans="1:7" ht="28.8">
      <c r="A55" s="97"/>
      <c r="B55" s="105" t="s">
        <v>162</v>
      </c>
      <c r="C55" s="109">
        <v>145</v>
      </c>
      <c r="D55" s="110" t="s">
        <v>23</v>
      </c>
      <c r="E55" s="104">
        <v>0</v>
      </c>
      <c r="F55" s="104">
        <f t="shared" si="15"/>
        <v>0</v>
      </c>
      <c r="G55" s="96" t="s">
        <v>163</v>
      </c>
    </row>
    <row r="56" spans="1:7">
      <c r="A56" s="97" t="s">
        <v>182</v>
      </c>
      <c r="B56" s="105" t="s">
        <v>164</v>
      </c>
      <c r="C56" s="109">
        <v>1</v>
      </c>
      <c r="D56" s="110" t="s">
        <v>23</v>
      </c>
      <c r="E56" s="104">
        <v>5000</v>
      </c>
      <c r="F56" s="104">
        <f t="shared" si="15"/>
        <v>5000</v>
      </c>
      <c r="G56" s="96"/>
    </row>
    <row r="57" spans="1:7" ht="28.8">
      <c r="A57" s="97"/>
      <c r="B57" s="105" t="s">
        <v>165</v>
      </c>
      <c r="C57" s="109">
        <v>145</v>
      </c>
      <c r="D57" s="110" t="s">
        <v>23</v>
      </c>
      <c r="E57" s="104">
        <v>21</v>
      </c>
      <c r="F57" s="104">
        <f t="shared" si="15"/>
        <v>3045</v>
      </c>
      <c r="G57" s="96"/>
    </row>
    <row r="58" spans="1:7">
      <c r="A58" s="97"/>
      <c r="B58" s="105" t="s">
        <v>166</v>
      </c>
      <c r="C58" s="109">
        <v>1</v>
      </c>
      <c r="D58" s="110" t="s">
        <v>23</v>
      </c>
      <c r="E58" s="104">
        <v>0</v>
      </c>
      <c r="F58" s="104">
        <f t="shared" si="15"/>
        <v>0</v>
      </c>
      <c r="G58" s="96" t="s">
        <v>167</v>
      </c>
    </row>
    <row r="59" spans="1:7">
      <c r="A59" s="97"/>
      <c r="B59" s="105" t="s">
        <v>168</v>
      </c>
      <c r="C59" s="109">
        <v>6</v>
      </c>
      <c r="D59" s="110" t="s">
        <v>23</v>
      </c>
      <c r="E59" s="104">
        <v>200</v>
      </c>
      <c r="F59" s="104">
        <f t="shared" si="15"/>
        <v>1200</v>
      </c>
      <c r="G59" s="96"/>
    </row>
    <row r="60" spans="1:7">
      <c r="A60" s="97"/>
      <c r="B60" s="105" t="s">
        <v>169</v>
      </c>
      <c r="C60" s="109">
        <v>1</v>
      </c>
      <c r="D60" s="110" t="s">
        <v>23</v>
      </c>
      <c r="E60" s="104">
        <v>0</v>
      </c>
      <c r="F60" s="104">
        <f t="shared" si="15"/>
        <v>0</v>
      </c>
      <c r="G60" s="96" t="s">
        <v>167</v>
      </c>
    </row>
    <row r="61" spans="1:7" ht="28.8">
      <c r="A61" s="97"/>
      <c r="B61" s="105" t="s">
        <v>170</v>
      </c>
      <c r="C61" s="109">
        <v>1</v>
      </c>
      <c r="D61" s="110" t="s">
        <v>23</v>
      </c>
      <c r="E61" s="104">
        <v>16330</v>
      </c>
      <c r="F61" s="104">
        <f t="shared" si="15"/>
        <v>16330</v>
      </c>
      <c r="G61" s="96"/>
    </row>
    <row r="62" spans="1:7">
      <c r="A62" s="97"/>
      <c r="B62" s="105" t="s">
        <v>171</v>
      </c>
      <c r="C62" s="109">
        <v>145</v>
      </c>
      <c r="D62" s="110" t="s">
        <v>23</v>
      </c>
      <c r="E62" s="104">
        <v>165</v>
      </c>
      <c r="F62" s="104">
        <f t="shared" si="15"/>
        <v>23925</v>
      </c>
      <c r="G62" s="96"/>
    </row>
    <row r="63" spans="1:7" ht="28.8">
      <c r="A63" s="97"/>
      <c r="B63" s="105" t="s">
        <v>172</v>
      </c>
      <c r="C63" s="109">
        <v>145</v>
      </c>
      <c r="D63" s="110" t="s">
        <v>23</v>
      </c>
      <c r="E63" s="104">
        <v>82</v>
      </c>
      <c r="F63" s="104">
        <f t="shared" si="15"/>
        <v>11890</v>
      </c>
      <c r="G63" s="96"/>
    </row>
    <row r="64" spans="1:7">
      <c r="A64" s="97"/>
      <c r="B64" s="179" t="s">
        <v>122</v>
      </c>
      <c r="C64" s="184">
        <v>1</v>
      </c>
      <c r="D64" s="185" t="s">
        <v>23</v>
      </c>
      <c r="E64" s="186">
        <v>900</v>
      </c>
      <c r="F64" s="101">
        <f t="shared" ref="F64" si="16">C64*D64*E64</f>
        <v>900</v>
      </c>
      <c r="G64" s="181"/>
    </row>
    <row r="65" spans="1:7">
      <c r="A65" s="97"/>
      <c r="B65" s="105" t="s">
        <v>173</v>
      </c>
      <c r="C65" s="109">
        <v>1</v>
      </c>
      <c r="D65" s="110" t="s">
        <v>23</v>
      </c>
      <c r="E65" s="104">
        <v>0</v>
      </c>
      <c r="F65" s="104">
        <f>C65*D65*E65</f>
        <v>0</v>
      </c>
      <c r="G65" s="96" t="s">
        <v>167</v>
      </c>
    </row>
    <row r="66" spans="1:7">
      <c r="A66" s="97"/>
      <c r="B66" s="105" t="s">
        <v>174</v>
      </c>
      <c r="C66" s="109">
        <v>1</v>
      </c>
      <c r="D66" s="110" t="s">
        <v>23</v>
      </c>
      <c r="E66" s="104">
        <v>7671</v>
      </c>
      <c r="F66" s="104">
        <f>C66*D66*E66</f>
        <v>7671</v>
      </c>
      <c r="G66" s="96" t="s">
        <v>175</v>
      </c>
    </row>
    <row r="67" spans="1:7">
      <c r="A67" s="97"/>
      <c r="B67" s="179" t="s">
        <v>176</v>
      </c>
      <c r="C67" s="184">
        <v>1</v>
      </c>
      <c r="D67" s="185" t="s">
        <v>23</v>
      </c>
      <c r="E67" s="186">
        <v>550</v>
      </c>
      <c r="F67" s="101">
        <f t="shared" ref="F67" si="17">C67*D67*E67</f>
        <v>550</v>
      </c>
      <c r="G67" s="181" t="s">
        <v>177</v>
      </c>
    </row>
    <row r="68" spans="1:7" ht="28.8">
      <c r="A68" s="97"/>
      <c r="B68" s="105" t="s">
        <v>178</v>
      </c>
      <c r="C68" s="109">
        <v>1</v>
      </c>
      <c r="D68" s="110" t="s">
        <v>23</v>
      </c>
      <c r="E68" s="104">
        <v>1200</v>
      </c>
      <c r="F68" s="104">
        <f>C68*D68*E68</f>
        <v>1200</v>
      </c>
      <c r="G68" s="96"/>
    </row>
    <row r="69" spans="1:7">
      <c r="A69" s="97"/>
      <c r="B69" s="105" t="s">
        <v>179</v>
      </c>
      <c r="C69" s="109">
        <v>2</v>
      </c>
      <c r="D69" s="110" t="s">
        <v>23</v>
      </c>
      <c r="E69" s="104">
        <v>350</v>
      </c>
      <c r="F69" s="104">
        <f>C69*D69*E69</f>
        <v>700</v>
      </c>
      <c r="G69" s="96"/>
    </row>
    <row r="70" spans="1:7">
      <c r="A70" s="97"/>
      <c r="B70" s="179" t="s">
        <v>180</v>
      </c>
      <c r="C70" s="184">
        <v>1</v>
      </c>
      <c r="D70" s="185" t="s">
        <v>23</v>
      </c>
      <c r="E70" s="186">
        <v>1800</v>
      </c>
      <c r="F70" s="101">
        <f t="shared" ref="F70" si="18">C70*D70*E70</f>
        <v>1800</v>
      </c>
      <c r="G70" s="181" t="s">
        <v>181</v>
      </c>
    </row>
    <row r="71" spans="1:7">
      <c r="A71" s="97">
        <v>0.97916666666666663</v>
      </c>
      <c r="B71" s="179" t="s">
        <v>184</v>
      </c>
      <c r="C71" s="184">
        <v>145</v>
      </c>
      <c r="D71" s="185" t="s">
        <v>23</v>
      </c>
      <c r="E71" s="186">
        <v>0</v>
      </c>
      <c r="F71" s="101">
        <f t="shared" ref="F71" si="19">C71*D71*E71</f>
        <v>0</v>
      </c>
      <c r="G71" s="181" t="s">
        <v>185</v>
      </c>
    </row>
    <row r="72" spans="1:7">
      <c r="A72" s="191" t="s">
        <v>187</v>
      </c>
      <c r="B72" s="164"/>
      <c r="C72" s="164"/>
      <c r="D72" s="164"/>
      <c r="E72" s="164"/>
      <c r="F72" s="29">
        <f>SUM(F48:F71)</f>
        <v>119866</v>
      </c>
      <c r="G72" s="164"/>
    </row>
    <row r="73" spans="1:7">
      <c r="A73" s="97"/>
      <c r="B73" s="136" t="s">
        <v>38</v>
      </c>
      <c r="C73" s="93">
        <v>145</v>
      </c>
      <c r="D73" s="137">
        <v>1</v>
      </c>
      <c r="E73" s="138">
        <v>0</v>
      </c>
      <c r="F73" s="101">
        <f t="shared" ref="F73:F81" si="20">C73*D73*E73</f>
        <v>0</v>
      </c>
      <c r="G73" s="94" t="s">
        <v>39</v>
      </c>
    </row>
    <row r="74" spans="1:7">
      <c r="A74" s="97" t="s">
        <v>152</v>
      </c>
      <c r="B74" s="105" t="s">
        <v>150</v>
      </c>
      <c r="C74" s="109">
        <v>3</v>
      </c>
      <c r="D74" s="110" t="s">
        <v>23</v>
      </c>
      <c r="E74" s="104">
        <v>325</v>
      </c>
      <c r="F74" s="104">
        <f t="shared" si="20"/>
        <v>975</v>
      </c>
      <c r="G74" s="96"/>
    </row>
    <row r="75" spans="1:7">
      <c r="A75" s="97" t="s">
        <v>232</v>
      </c>
      <c r="B75" s="105" t="s">
        <v>196</v>
      </c>
      <c r="C75" s="109">
        <v>3</v>
      </c>
      <c r="D75" s="110" t="s">
        <v>23</v>
      </c>
      <c r="E75" s="104">
        <v>420</v>
      </c>
      <c r="F75" s="104">
        <f t="shared" si="20"/>
        <v>1260</v>
      </c>
      <c r="G75" s="96"/>
    </row>
    <row r="76" spans="1:7">
      <c r="A76" s="97" t="s">
        <v>190</v>
      </c>
      <c r="B76" s="136" t="s">
        <v>188</v>
      </c>
      <c r="C76" s="93">
        <v>145</v>
      </c>
      <c r="D76" s="137">
        <v>1</v>
      </c>
      <c r="E76" s="138">
        <v>35</v>
      </c>
      <c r="F76" s="101">
        <f t="shared" si="20"/>
        <v>5075</v>
      </c>
      <c r="G76" s="94" t="s">
        <v>189</v>
      </c>
    </row>
    <row r="77" spans="1:7" ht="57.6">
      <c r="A77" s="97" t="s">
        <v>191</v>
      </c>
      <c r="B77" s="105" t="s">
        <v>192</v>
      </c>
      <c r="C77" s="109">
        <v>145</v>
      </c>
      <c r="D77" s="110" t="s">
        <v>23</v>
      </c>
      <c r="E77" s="104">
        <v>235</v>
      </c>
      <c r="F77" s="104">
        <f t="shared" si="20"/>
        <v>34075</v>
      </c>
      <c r="G77" s="96"/>
    </row>
    <row r="78" spans="1:7">
      <c r="A78" s="97">
        <v>0.6875</v>
      </c>
      <c r="B78" s="105" t="s">
        <v>193</v>
      </c>
      <c r="C78" s="109">
        <v>145</v>
      </c>
      <c r="D78" s="110" t="s">
        <v>23</v>
      </c>
      <c r="E78" s="104">
        <v>0</v>
      </c>
      <c r="F78" s="104">
        <f t="shared" si="20"/>
        <v>0</v>
      </c>
      <c r="G78" s="96"/>
    </row>
    <row r="79" spans="1:7">
      <c r="A79" s="97">
        <v>0.80208333333333337</v>
      </c>
      <c r="B79" s="105" t="s">
        <v>194</v>
      </c>
      <c r="C79" s="109">
        <v>145</v>
      </c>
      <c r="D79" s="110" t="s">
        <v>23</v>
      </c>
      <c r="E79" s="104">
        <v>0</v>
      </c>
      <c r="F79" s="104">
        <f t="shared" si="20"/>
        <v>0</v>
      </c>
      <c r="G79" s="96" t="s">
        <v>195</v>
      </c>
    </row>
    <row r="80" spans="1:7" ht="72">
      <c r="A80" s="97" t="s">
        <v>197</v>
      </c>
      <c r="B80" s="105" t="s">
        <v>198</v>
      </c>
      <c r="C80" s="109">
        <v>145</v>
      </c>
      <c r="D80" s="110" t="s">
        <v>23</v>
      </c>
      <c r="E80" s="104">
        <v>210</v>
      </c>
      <c r="F80" s="104">
        <f t="shared" si="20"/>
        <v>30450</v>
      </c>
      <c r="G80" s="96"/>
    </row>
    <row r="81" spans="1:7">
      <c r="A81" s="97">
        <v>0.97916666666666663</v>
      </c>
      <c r="B81" s="105" t="s">
        <v>199</v>
      </c>
      <c r="C81" s="109">
        <v>145</v>
      </c>
      <c r="D81" s="110" t="s">
        <v>23</v>
      </c>
      <c r="E81" s="104">
        <v>0</v>
      </c>
      <c r="F81" s="104">
        <f t="shared" si="20"/>
        <v>0</v>
      </c>
      <c r="G81" s="96"/>
    </row>
    <row r="82" spans="1:7">
      <c r="A82" s="164" t="s">
        <v>200</v>
      </c>
      <c r="B82" s="147"/>
      <c r="C82" s="148"/>
      <c r="D82" s="165"/>
      <c r="E82" s="163"/>
      <c r="F82" s="161">
        <f>SUM(F73:F81)</f>
        <v>71835</v>
      </c>
      <c r="G82" s="160" t="s">
        <v>116</v>
      </c>
    </row>
    <row r="83" spans="1:7">
      <c r="A83" s="97"/>
      <c r="B83" s="136" t="s">
        <v>38</v>
      </c>
      <c r="C83" s="93">
        <v>145</v>
      </c>
      <c r="D83" s="137">
        <v>1</v>
      </c>
      <c r="E83" s="138">
        <v>0</v>
      </c>
      <c r="F83" s="101">
        <f t="shared" ref="F83" si="21">C83*D83*E83</f>
        <v>0</v>
      </c>
      <c r="G83" s="94" t="s">
        <v>39</v>
      </c>
    </row>
    <row r="84" spans="1:7">
      <c r="A84" s="145">
        <v>0.5</v>
      </c>
      <c r="B84" s="176" t="s">
        <v>201</v>
      </c>
      <c r="C84" s="177">
        <v>145</v>
      </c>
      <c r="D84" s="192" t="s">
        <v>23</v>
      </c>
      <c r="E84" s="170">
        <v>0</v>
      </c>
      <c r="F84" s="170">
        <f>C84*D84*E84</f>
        <v>0</v>
      </c>
      <c r="G84" s="175" t="s">
        <v>111</v>
      </c>
    </row>
    <row r="85" spans="1:7">
      <c r="A85" s="97"/>
      <c r="B85" s="105" t="s">
        <v>208</v>
      </c>
      <c r="C85" s="109">
        <v>3</v>
      </c>
      <c r="D85" s="152" t="s">
        <v>23</v>
      </c>
      <c r="E85" s="104">
        <v>235</v>
      </c>
      <c r="F85" s="104">
        <f t="shared" ref="F85" si="22">C85*D85*E85</f>
        <v>705</v>
      </c>
      <c r="G85" s="96" t="s">
        <v>101</v>
      </c>
    </row>
    <row r="86" spans="1:7" ht="28.8">
      <c r="A86" s="97"/>
      <c r="B86" s="95" t="s">
        <v>202</v>
      </c>
      <c r="C86" s="102">
        <v>3</v>
      </c>
      <c r="D86" s="183" t="s">
        <v>78</v>
      </c>
      <c r="E86" s="107">
        <v>120</v>
      </c>
      <c r="F86" s="107">
        <f>C86*D86*E86</f>
        <v>0</v>
      </c>
      <c r="G86" s="96" t="s">
        <v>99</v>
      </c>
    </row>
    <row r="87" spans="1:7">
      <c r="A87" s="97"/>
      <c r="B87" s="105" t="s">
        <v>207</v>
      </c>
      <c r="C87" s="109">
        <v>1</v>
      </c>
      <c r="D87" s="106" t="s">
        <v>78</v>
      </c>
      <c r="E87" s="107">
        <v>200</v>
      </c>
      <c r="F87" s="107">
        <f t="shared" ref="F87:F91" si="23">C87*D87*E87</f>
        <v>0</v>
      </c>
      <c r="G87" s="96" t="s">
        <v>101</v>
      </c>
    </row>
    <row r="88" spans="1:7" ht="28.8">
      <c r="A88" s="97"/>
      <c r="B88" s="105" t="s">
        <v>206</v>
      </c>
      <c r="C88" s="109">
        <v>1</v>
      </c>
      <c r="D88" s="106" t="s">
        <v>78</v>
      </c>
      <c r="E88" s="107">
        <v>110</v>
      </c>
      <c r="F88" s="107">
        <f t="shared" si="23"/>
        <v>0</v>
      </c>
      <c r="G88" s="96" t="s">
        <v>101</v>
      </c>
    </row>
    <row r="89" spans="1:7" ht="28.8">
      <c r="A89" s="97"/>
      <c r="B89" s="105" t="s">
        <v>205</v>
      </c>
      <c r="C89" s="109">
        <v>1</v>
      </c>
      <c r="D89" s="106" t="s">
        <v>78</v>
      </c>
      <c r="E89" s="107">
        <v>320</v>
      </c>
      <c r="F89" s="107">
        <f t="shared" si="23"/>
        <v>0</v>
      </c>
      <c r="G89" s="96" t="s">
        <v>101</v>
      </c>
    </row>
    <row r="90" spans="1:7" ht="28.8">
      <c r="A90" s="97"/>
      <c r="B90" s="105" t="s">
        <v>204</v>
      </c>
      <c r="C90" s="109">
        <v>1</v>
      </c>
      <c r="D90" s="106" t="s">
        <v>78</v>
      </c>
      <c r="E90" s="107">
        <v>65</v>
      </c>
      <c r="F90" s="107">
        <f t="shared" si="23"/>
        <v>0</v>
      </c>
      <c r="G90" s="96" t="s">
        <v>101</v>
      </c>
    </row>
    <row r="91" spans="1:7" ht="28.8">
      <c r="A91" s="97"/>
      <c r="B91" s="105" t="s">
        <v>203</v>
      </c>
      <c r="C91" s="109">
        <v>1</v>
      </c>
      <c r="D91" s="106" t="s">
        <v>78</v>
      </c>
      <c r="E91" s="107">
        <v>165</v>
      </c>
      <c r="F91" s="107">
        <f t="shared" si="23"/>
        <v>0</v>
      </c>
      <c r="G91" s="96" t="s">
        <v>101</v>
      </c>
    </row>
    <row r="92" spans="1:7" ht="15" thickBot="1">
      <c r="A92" s="130"/>
      <c r="B92" s="147"/>
      <c r="C92" s="148"/>
      <c r="D92" s="149"/>
      <c r="E92" s="150"/>
      <c r="F92" s="29">
        <f>SUM(F83:F91)</f>
        <v>705</v>
      </c>
      <c r="G92" s="193"/>
    </row>
    <row r="93" spans="1:7" ht="15" thickBot="1">
      <c r="A93" s="139"/>
      <c r="B93" s="122" t="s">
        <v>86</v>
      </c>
      <c r="C93" s="123"/>
      <c r="D93" s="124"/>
      <c r="E93" s="125"/>
      <c r="F93" s="140">
        <f>F92+F72+F47+F28+F14</f>
        <v>618101</v>
      </c>
      <c r="G93" s="141"/>
    </row>
    <row r="94" spans="1:7" ht="15" thickBot="1">
      <c r="A94" s="139"/>
      <c r="B94" s="122" t="s">
        <v>87</v>
      </c>
      <c r="C94" s="123"/>
      <c r="D94" s="124"/>
      <c r="E94" s="125"/>
      <c r="F94" s="140">
        <f>F93</f>
        <v>618101</v>
      </c>
      <c r="G94" s="141"/>
    </row>
    <row r="95" spans="1:7" ht="15" thickBot="1">
      <c r="A95" s="139"/>
      <c r="B95" s="122" t="s">
        <v>118</v>
      </c>
      <c r="C95" s="123"/>
      <c r="D95" s="124"/>
      <c r="E95" s="125"/>
      <c r="F95" s="140">
        <f>F94/145</f>
        <v>4262.7655172413797</v>
      </c>
      <c r="G95" s="141"/>
    </row>
    <row r="98" spans="1:7">
      <c r="A98" s="58" t="s">
        <v>89</v>
      </c>
      <c r="B98" s="6"/>
      <c r="C98" s="6"/>
      <c r="D98" s="6"/>
      <c r="E98" s="6"/>
      <c r="F98" s="6"/>
      <c r="G98" s="6"/>
    </row>
    <row r="99" spans="1:7">
      <c r="A99" s="200" t="s">
        <v>90</v>
      </c>
      <c r="B99" s="200"/>
      <c r="C99" s="200"/>
      <c r="D99" s="200"/>
      <c r="E99" s="200"/>
      <c r="F99" s="5"/>
    </row>
    <row r="100" spans="1:7">
      <c r="A100" s="5" t="s">
        <v>91</v>
      </c>
      <c r="B100" s="5"/>
      <c r="C100" s="5"/>
      <c r="D100" s="5"/>
      <c r="E100" s="5"/>
      <c r="F100" s="5"/>
    </row>
    <row r="101" spans="1:7">
      <c r="A101" s="2" t="s">
        <v>92</v>
      </c>
      <c r="B101" s="6"/>
      <c r="C101" s="60"/>
      <c r="D101" s="6"/>
      <c r="E101" s="6"/>
      <c r="F101" s="6"/>
    </row>
    <row r="102" spans="1:7">
      <c r="A102" s="2" t="s">
        <v>93</v>
      </c>
      <c r="B102" s="6"/>
      <c r="C102" s="60"/>
      <c r="D102" s="6"/>
      <c r="E102" s="6"/>
      <c r="F102" s="6"/>
    </row>
  </sheetData>
  <mergeCells count="9">
    <mergeCell ref="G12:G13"/>
    <mergeCell ref="A51:A52"/>
    <mergeCell ref="A99:E99"/>
    <mergeCell ref="A32:A34"/>
    <mergeCell ref="A5:C5"/>
    <mergeCell ref="A6:C6"/>
    <mergeCell ref="A8:C8"/>
    <mergeCell ref="A35:A38"/>
    <mergeCell ref="A39:A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6506-4B69-45C5-81FB-7BA046A5EB54}">
  <dimension ref="A2:G102"/>
  <sheetViews>
    <sheetView workbookViewId="0">
      <selection activeCell="B1" sqref="B1"/>
    </sheetView>
  </sheetViews>
  <sheetFormatPr defaultColWidth="9.109375" defaultRowHeight="14.4"/>
  <cols>
    <col min="1" max="1" width="24.44140625" style="1" customWidth="1"/>
    <col min="2" max="2" width="38.5546875" style="1" customWidth="1"/>
    <col min="3" max="3" width="7.44140625" style="1" bestFit="1" customWidth="1"/>
    <col min="4" max="4" width="13.5546875" style="1" customWidth="1"/>
    <col min="5" max="5" width="28.6640625" style="1" bestFit="1" customWidth="1"/>
    <col min="6" max="6" width="28.6640625" style="1" customWidth="1"/>
    <col min="7" max="7" width="52.5546875" style="1" customWidth="1"/>
    <col min="8" max="16384" width="9.109375" style="1"/>
  </cols>
  <sheetData>
    <row r="2" spans="1:7">
      <c r="D2" s="2"/>
      <c r="E2" s="92"/>
    </row>
    <row r="3" spans="1:7">
      <c r="D3" s="2"/>
      <c r="E3" s="4"/>
      <c r="F3" s="3"/>
    </row>
    <row r="4" spans="1:7">
      <c r="D4" s="3"/>
      <c r="E4" s="4"/>
      <c r="F4" s="4"/>
    </row>
    <row r="5" spans="1:7">
      <c r="A5" s="209" t="s">
        <v>213</v>
      </c>
      <c r="B5" s="209"/>
      <c r="C5" s="209"/>
      <c r="D5" s="3" t="s">
        <v>94</v>
      </c>
      <c r="E5" s="3" t="s">
        <v>209</v>
      </c>
      <c r="F5" s="3"/>
      <c r="G5" s="115"/>
    </row>
    <row r="6" spans="1:7">
      <c r="A6" s="210" t="s">
        <v>104</v>
      </c>
      <c r="B6" s="210"/>
      <c r="C6" s="210"/>
      <c r="D6" s="3" t="s">
        <v>2</v>
      </c>
      <c r="E6" s="4" t="s">
        <v>210</v>
      </c>
      <c r="F6" s="116"/>
      <c r="G6" s="115"/>
    </row>
    <row r="7" spans="1:7">
      <c r="A7" s="146" t="s">
        <v>107</v>
      </c>
      <c r="B7" s="117"/>
      <c r="C7" s="113"/>
      <c r="D7" s="3"/>
      <c r="E7" s="3"/>
      <c r="F7" s="3"/>
      <c r="G7" s="115"/>
    </row>
    <row r="8" spans="1:7">
      <c r="A8" s="211" t="s">
        <v>108</v>
      </c>
      <c r="B8" s="210"/>
      <c r="C8" s="210"/>
      <c r="D8" s="114"/>
      <c r="E8" s="4"/>
      <c r="F8" s="116"/>
      <c r="G8" s="115"/>
    </row>
    <row r="9" spans="1:7">
      <c r="A9" s="118" t="s">
        <v>105</v>
      </c>
      <c r="B9" s="119"/>
      <c r="C9" s="119"/>
      <c r="D9" s="119"/>
      <c r="E9" s="119"/>
      <c r="F9" s="119"/>
      <c r="G9" s="119"/>
    </row>
    <row r="10" spans="1:7" ht="15" thickBot="1">
      <c r="A10" s="120" t="s">
        <v>106</v>
      </c>
      <c r="B10" s="142"/>
      <c r="C10" s="143"/>
      <c r="D10" s="120"/>
      <c r="E10" s="144"/>
      <c r="F10" s="144"/>
      <c r="G10" s="142"/>
    </row>
    <row r="11" spans="1:7" ht="29.4" thickBot="1">
      <c r="A11" s="121" t="s">
        <v>10</v>
      </c>
      <c r="B11" s="122" t="s">
        <v>11</v>
      </c>
      <c r="C11" s="123" t="s">
        <v>12</v>
      </c>
      <c r="D11" s="124" t="s">
        <v>13</v>
      </c>
      <c r="E11" s="125" t="s">
        <v>14</v>
      </c>
      <c r="F11" s="126" t="s">
        <v>15</v>
      </c>
      <c r="G11" s="127" t="s">
        <v>16</v>
      </c>
    </row>
    <row r="12" spans="1:7">
      <c r="A12" s="128"/>
      <c r="B12" s="128" t="s">
        <v>109</v>
      </c>
      <c r="C12" s="98">
        <v>10</v>
      </c>
      <c r="D12" s="103" t="s">
        <v>18</v>
      </c>
      <c r="E12" s="129">
        <v>655</v>
      </c>
      <c r="F12" s="111">
        <f>C12*D12*E12</f>
        <v>19650</v>
      </c>
      <c r="G12" s="212" t="s">
        <v>95</v>
      </c>
    </row>
    <row r="13" spans="1:7" ht="28.8">
      <c r="A13" s="128"/>
      <c r="B13" s="128" t="s">
        <v>110</v>
      </c>
      <c r="C13" s="98">
        <v>75</v>
      </c>
      <c r="D13" s="103" t="s">
        <v>18</v>
      </c>
      <c r="E13" s="129">
        <v>701</v>
      </c>
      <c r="F13" s="111">
        <f>C13*D13*E13</f>
        <v>157725</v>
      </c>
      <c r="G13" s="213"/>
    </row>
    <row r="14" spans="1:7">
      <c r="A14" s="130" t="s">
        <v>214</v>
      </c>
      <c r="B14" s="131"/>
      <c r="C14" s="132"/>
      <c r="D14" s="133"/>
      <c r="E14" s="134"/>
      <c r="F14" s="29">
        <f>SUM(F12:F13)</f>
        <v>177375</v>
      </c>
      <c r="G14" s="135"/>
    </row>
    <row r="15" spans="1:7" ht="28.8">
      <c r="A15" s="97"/>
      <c r="B15" s="95" t="s">
        <v>96</v>
      </c>
      <c r="C15" s="98">
        <v>3</v>
      </c>
      <c r="D15" s="99" t="s">
        <v>23</v>
      </c>
      <c r="E15" s="100">
        <v>0</v>
      </c>
      <c r="F15" s="101">
        <f t="shared" ref="F15:F27" si="0">C15*D15*E15</f>
        <v>0</v>
      </c>
      <c r="G15" s="96" t="s">
        <v>128</v>
      </c>
    </row>
    <row r="16" spans="1:7" ht="28.8">
      <c r="A16" s="97"/>
      <c r="B16" s="105" t="s">
        <v>100</v>
      </c>
      <c r="C16" s="109">
        <v>3</v>
      </c>
      <c r="D16" s="152" t="s">
        <v>23</v>
      </c>
      <c r="E16" s="104">
        <v>235</v>
      </c>
      <c r="F16" s="104">
        <f t="shared" si="0"/>
        <v>705</v>
      </c>
      <c r="G16" s="96" t="s">
        <v>101</v>
      </c>
    </row>
    <row r="17" spans="1:7">
      <c r="A17" s="97"/>
      <c r="B17" s="95" t="s">
        <v>98</v>
      </c>
      <c r="C17" s="102">
        <v>3</v>
      </c>
      <c r="D17" s="183" t="s">
        <v>78</v>
      </c>
      <c r="E17" s="107">
        <v>120</v>
      </c>
      <c r="F17" s="107">
        <f>C17*D17*E17</f>
        <v>0</v>
      </c>
      <c r="G17" s="96" t="s">
        <v>99</v>
      </c>
    </row>
    <row r="18" spans="1:7" ht="28.8">
      <c r="A18" s="97"/>
      <c r="B18" s="105" t="s">
        <v>129</v>
      </c>
      <c r="C18" s="109">
        <v>1</v>
      </c>
      <c r="D18" s="106" t="s">
        <v>78</v>
      </c>
      <c r="E18" s="107">
        <v>200</v>
      </c>
      <c r="F18" s="107">
        <f t="shared" ref="F18:F22" si="1">C18*D18*E18</f>
        <v>0</v>
      </c>
      <c r="G18" s="96" t="s">
        <v>101</v>
      </c>
    </row>
    <row r="19" spans="1:7" ht="28.8">
      <c r="A19" s="97"/>
      <c r="B19" s="105" t="s">
        <v>130</v>
      </c>
      <c r="C19" s="109">
        <v>1</v>
      </c>
      <c r="D19" s="106" t="s">
        <v>78</v>
      </c>
      <c r="E19" s="107">
        <v>110</v>
      </c>
      <c r="F19" s="107">
        <f t="shared" si="1"/>
        <v>0</v>
      </c>
      <c r="G19" s="96" t="s">
        <v>101</v>
      </c>
    </row>
    <row r="20" spans="1:7" ht="28.8">
      <c r="A20" s="97"/>
      <c r="B20" s="105" t="s">
        <v>131</v>
      </c>
      <c r="C20" s="109">
        <v>1</v>
      </c>
      <c r="D20" s="106" t="s">
        <v>78</v>
      </c>
      <c r="E20" s="107">
        <v>320</v>
      </c>
      <c r="F20" s="107">
        <f t="shared" si="1"/>
        <v>0</v>
      </c>
      <c r="G20" s="96" t="s">
        <v>101</v>
      </c>
    </row>
    <row r="21" spans="1:7" ht="28.8">
      <c r="A21" s="97"/>
      <c r="B21" s="105" t="s">
        <v>132</v>
      </c>
      <c r="C21" s="109">
        <v>1</v>
      </c>
      <c r="D21" s="106" t="s">
        <v>78</v>
      </c>
      <c r="E21" s="107">
        <v>65</v>
      </c>
      <c r="F21" s="107">
        <f t="shared" si="1"/>
        <v>0</v>
      </c>
      <c r="G21" s="96" t="s">
        <v>101</v>
      </c>
    </row>
    <row r="22" spans="1:7" ht="28.8">
      <c r="A22" s="97"/>
      <c r="B22" s="105" t="s">
        <v>133</v>
      </c>
      <c r="C22" s="109">
        <v>1</v>
      </c>
      <c r="D22" s="106" t="s">
        <v>78</v>
      </c>
      <c r="E22" s="107">
        <v>165</v>
      </c>
      <c r="F22" s="107">
        <f t="shared" si="1"/>
        <v>0</v>
      </c>
      <c r="G22" s="96" t="s">
        <v>101</v>
      </c>
    </row>
    <row r="23" spans="1:7">
      <c r="A23" s="145"/>
      <c r="B23" s="105" t="s">
        <v>134</v>
      </c>
      <c r="C23" s="109">
        <v>1</v>
      </c>
      <c r="D23" s="110" t="s">
        <v>23</v>
      </c>
      <c r="E23" s="104">
        <v>0</v>
      </c>
      <c r="F23" s="104">
        <f t="shared" si="0"/>
        <v>0</v>
      </c>
      <c r="G23" s="96"/>
    </row>
    <row r="24" spans="1:7">
      <c r="A24" s="145"/>
      <c r="B24" s="166" t="s">
        <v>137</v>
      </c>
      <c r="C24" s="167">
        <v>1</v>
      </c>
      <c r="D24" s="168" t="s">
        <v>23</v>
      </c>
      <c r="E24" s="169">
        <v>20545</v>
      </c>
      <c r="F24" s="170">
        <f t="shared" si="0"/>
        <v>20545</v>
      </c>
      <c r="G24" s="171" t="s">
        <v>138</v>
      </c>
    </row>
    <row r="25" spans="1:7" s="112" customFormat="1">
      <c r="A25" s="158"/>
      <c r="B25" s="166" t="s">
        <v>135</v>
      </c>
      <c r="C25" s="167">
        <v>145</v>
      </c>
      <c r="D25" s="168" t="s">
        <v>23</v>
      </c>
      <c r="E25" s="169">
        <v>71</v>
      </c>
      <c r="F25" s="170">
        <f t="shared" si="0"/>
        <v>10295</v>
      </c>
      <c r="G25" s="94" t="s">
        <v>136</v>
      </c>
    </row>
    <row r="26" spans="1:7" s="112" customFormat="1">
      <c r="A26" s="159"/>
      <c r="B26" s="166" t="s">
        <v>102</v>
      </c>
      <c r="C26" s="167">
        <v>145</v>
      </c>
      <c r="D26" s="168" t="s">
        <v>23</v>
      </c>
      <c r="E26" s="169">
        <v>55</v>
      </c>
      <c r="F26" s="170">
        <f t="shared" si="0"/>
        <v>7975</v>
      </c>
      <c r="G26" s="171" t="s">
        <v>103</v>
      </c>
    </row>
    <row r="27" spans="1:7" ht="129.6">
      <c r="A27" s="145" t="s">
        <v>139</v>
      </c>
      <c r="B27" s="166" t="s">
        <v>140</v>
      </c>
      <c r="C27" s="167">
        <v>1</v>
      </c>
      <c r="D27" s="168" t="s">
        <v>23</v>
      </c>
      <c r="E27" s="169">
        <v>41000</v>
      </c>
      <c r="F27" s="170">
        <f t="shared" si="0"/>
        <v>41000</v>
      </c>
      <c r="G27" s="171" t="s">
        <v>141</v>
      </c>
    </row>
    <row r="28" spans="1:7">
      <c r="A28" s="130" t="s">
        <v>215</v>
      </c>
      <c r="B28" s="130"/>
      <c r="C28" s="130"/>
      <c r="D28" s="130"/>
      <c r="E28" s="130"/>
      <c r="F28" s="29">
        <f>SUM(F15:F27)</f>
        <v>80520</v>
      </c>
      <c r="G28" s="130"/>
    </row>
    <row r="29" spans="1:7">
      <c r="A29" s="97"/>
      <c r="B29" s="136" t="s">
        <v>38</v>
      </c>
      <c r="C29" s="93">
        <v>145</v>
      </c>
      <c r="D29" s="137">
        <v>1</v>
      </c>
      <c r="E29" s="138">
        <v>0</v>
      </c>
      <c r="F29" s="101">
        <f t="shared" ref="F29:F46" si="2">C29*D29*E29</f>
        <v>0</v>
      </c>
      <c r="G29" s="94" t="s">
        <v>39</v>
      </c>
    </row>
    <row r="30" spans="1:7" ht="28.8">
      <c r="A30" s="145" t="s">
        <v>113</v>
      </c>
      <c r="B30" s="172" t="s">
        <v>211</v>
      </c>
      <c r="C30" s="173">
        <v>145</v>
      </c>
      <c r="D30" s="174" t="s">
        <v>23</v>
      </c>
      <c r="E30" s="170">
        <v>100</v>
      </c>
      <c r="F30" s="101">
        <f t="shared" si="2"/>
        <v>14500</v>
      </c>
      <c r="G30" s="175" t="s">
        <v>144</v>
      </c>
    </row>
    <row r="31" spans="1:7">
      <c r="A31" s="97"/>
      <c r="B31" s="176" t="s">
        <v>112</v>
      </c>
      <c r="C31" s="177">
        <v>1</v>
      </c>
      <c r="D31" s="178" t="s">
        <v>23</v>
      </c>
      <c r="E31" s="170">
        <v>0</v>
      </c>
      <c r="F31" s="111">
        <f t="shared" si="2"/>
        <v>0</v>
      </c>
      <c r="G31" s="175" t="s">
        <v>101</v>
      </c>
    </row>
    <row r="32" spans="1:7" ht="30" customHeight="1">
      <c r="A32" s="203" t="s">
        <v>280</v>
      </c>
      <c r="B32" s="176" t="s">
        <v>145</v>
      </c>
      <c r="C32" s="177">
        <v>145</v>
      </c>
      <c r="D32" s="195" t="s">
        <v>78</v>
      </c>
      <c r="E32" s="196">
        <v>90</v>
      </c>
      <c r="F32" s="180">
        <f t="shared" si="2"/>
        <v>0</v>
      </c>
      <c r="G32" s="175" t="s">
        <v>136</v>
      </c>
    </row>
    <row r="33" spans="1:7" ht="28.8">
      <c r="A33" s="204"/>
      <c r="B33" s="176" t="s">
        <v>146</v>
      </c>
      <c r="C33" s="177">
        <v>145</v>
      </c>
      <c r="D33" s="195" t="s">
        <v>78</v>
      </c>
      <c r="E33" s="196">
        <v>90</v>
      </c>
      <c r="F33" s="180">
        <f t="shared" si="2"/>
        <v>0</v>
      </c>
      <c r="G33" s="175"/>
    </row>
    <row r="34" spans="1:7" ht="28.8">
      <c r="A34" s="205"/>
      <c r="B34" s="176" t="s">
        <v>147</v>
      </c>
      <c r="C34" s="177">
        <v>1</v>
      </c>
      <c r="D34" s="195" t="s">
        <v>78</v>
      </c>
      <c r="E34" s="196">
        <v>18465</v>
      </c>
      <c r="F34" s="180">
        <f t="shared" si="2"/>
        <v>0</v>
      </c>
      <c r="G34" s="175"/>
    </row>
    <row r="35" spans="1:7">
      <c r="A35" s="203" t="s">
        <v>281</v>
      </c>
      <c r="B35" s="105" t="s">
        <v>194</v>
      </c>
      <c r="C35" s="109">
        <v>145</v>
      </c>
      <c r="D35" s="110" t="s">
        <v>18</v>
      </c>
      <c r="E35" s="104">
        <v>295</v>
      </c>
      <c r="F35" s="104">
        <f t="shared" si="2"/>
        <v>128325</v>
      </c>
      <c r="G35" s="96"/>
    </row>
    <row r="36" spans="1:7" ht="30" customHeight="1">
      <c r="A36" s="207"/>
      <c r="B36" s="194" t="s">
        <v>272</v>
      </c>
      <c r="C36" s="177">
        <v>145</v>
      </c>
      <c r="D36" s="197" t="s">
        <v>23</v>
      </c>
      <c r="E36" s="129">
        <v>130</v>
      </c>
      <c r="F36" s="101">
        <f t="shared" si="2"/>
        <v>18850</v>
      </c>
      <c r="G36" s="175" t="s">
        <v>273</v>
      </c>
    </row>
    <row r="37" spans="1:7" ht="28.8">
      <c r="A37" s="207"/>
      <c r="B37" s="194" t="s">
        <v>146</v>
      </c>
      <c r="C37" s="177">
        <v>145</v>
      </c>
      <c r="D37" s="197" t="s">
        <v>23</v>
      </c>
      <c r="E37" s="129">
        <v>145</v>
      </c>
      <c r="F37" s="101">
        <f t="shared" si="2"/>
        <v>21025</v>
      </c>
      <c r="G37" s="175"/>
    </row>
    <row r="38" spans="1:7">
      <c r="A38" s="208"/>
      <c r="B38" s="194" t="s">
        <v>287</v>
      </c>
      <c r="C38" s="177">
        <v>1</v>
      </c>
      <c r="D38" s="178" t="s">
        <v>23</v>
      </c>
      <c r="E38" s="170">
        <v>8900</v>
      </c>
      <c r="F38" s="111">
        <f>C38*D38*E38</f>
        <v>8900</v>
      </c>
      <c r="G38" s="175"/>
    </row>
    <row r="39" spans="1:7">
      <c r="A39" s="203" t="s">
        <v>282</v>
      </c>
      <c r="B39" s="105" t="s">
        <v>194</v>
      </c>
      <c r="C39" s="109">
        <v>145</v>
      </c>
      <c r="D39" s="110" t="s">
        <v>18</v>
      </c>
      <c r="E39" s="104">
        <v>295</v>
      </c>
      <c r="F39" s="104">
        <f t="shared" ref="F39" si="3">C39*D39*E39</f>
        <v>128325</v>
      </c>
      <c r="G39" s="96"/>
    </row>
    <row r="40" spans="1:7" ht="30" customHeight="1">
      <c r="A40" s="207"/>
      <c r="B40" s="194" t="s">
        <v>289</v>
      </c>
      <c r="C40" s="177">
        <v>145</v>
      </c>
      <c r="D40" s="195" t="s">
        <v>78</v>
      </c>
      <c r="E40" s="196">
        <v>48350</v>
      </c>
      <c r="F40" s="180">
        <f t="shared" si="2"/>
        <v>0</v>
      </c>
      <c r="G40" s="175" t="s">
        <v>290</v>
      </c>
    </row>
    <row r="41" spans="1:7" ht="30" customHeight="1">
      <c r="A41" s="207"/>
      <c r="B41" s="194" t="s">
        <v>288</v>
      </c>
      <c r="C41" s="177">
        <v>145</v>
      </c>
      <c r="D41" s="195" t="s">
        <v>78</v>
      </c>
      <c r="E41" s="196">
        <v>153</v>
      </c>
      <c r="F41" s="180">
        <f t="shared" si="2"/>
        <v>0</v>
      </c>
      <c r="G41" s="175"/>
    </row>
    <row r="42" spans="1:7" ht="28.8">
      <c r="A42" s="208"/>
      <c r="B42" s="194" t="s">
        <v>146</v>
      </c>
      <c r="C42" s="177">
        <v>145</v>
      </c>
      <c r="D42" s="195" t="s">
        <v>78</v>
      </c>
      <c r="E42" s="196">
        <v>145</v>
      </c>
      <c r="F42" s="180">
        <f t="shared" si="2"/>
        <v>0</v>
      </c>
      <c r="G42" s="175"/>
    </row>
    <row r="43" spans="1:7">
      <c r="A43" s="97"/>
      <c r="B43" s="179" t="s">
        <v>122</v>
      </c>
      <c r="C43" s="184">
        <v>1</v>
      </c>
      <c r="D43" s="185" t="s">
        <v>23</v>
      </c>
      <c r="E43" s="186">
        <v>900</v>
      </c>
      <c r="F43" s="101">
        <f t="shared" si="2"/>
        <v>900</v>
      </c>
      <c r="G43" s="181"/>
    </row>
    <row r="44" spans="1:7">
      <c r="A44" s="97"/>
      <c r="B44" s="179" t="s">
        <v>123</v>
      </c>
      <c r="C44" s="187">
        <v>1</v>
      </c>
      <c r="D44" s="185" t="s">
        <v>23</v>
      </c>
      <c r="E44" s="186">
        <v>1300</v>
      </c>
      <c r="F44" s="101">
        <f t="shared" si="2"/>
        <v>1300</v>
      </c>
      <c r="G44" s="48"/>
    </row>
    <row r="45" spans="1:7">
      <c r="A45" s="97"/>
      <c r="B45" s="179" t="s">
        <v>148</v>
      </c>
      <c r="C45" s="184">
        <v>1</v>
      </c>
      <c r="D45" s="185" t="s">
        <v>23</v>
      </c>
      <c r="E45" s="186">
        <v>600</v>
      </c>
      <c r="F45" s="101">
        <f t="shared" si="2"/>
        <v>600</v>
      </c>
      <c r="G45" s="181"/>
    </row>
    <row r="46" spans="1:7">
      <c r="A46" s="97"/>
      <c r="B46" s="179" t="s">
        <v>149</v>
      </c>
      <c r="C46" s="187">
        <v>1</v>
      </c>
      <c r="D46" s="185" t="s">
        <v>23</v>
      </c>
      <c r="E46" s="186">
        <v>900</v>
      </c>
      <c r="F46" s="101">
        <f t="shared" si="2"/>
        <v>900</v>
      </c>
      <c r="G46" s="48"/>
    </row>
    <row r="47" spans="1:7">
      <c r="A47" s="188" t="s">
        <v>218</v>
      </c>
      <c r="B47" s="147"/>
      <c r="C47" s="148"/>
      <c r="D47" s="149"/>
      <c r="E47" s="150"/>
      <c r="F47" s="29">
        <f>SUM(F29:F46)</f>
        <v>323625</v>
      </c>
      <c r="G47" s="151"/>
    </row>
    <row r="48" spans="1:7">
      <c r="A48" s="97"/>
      <c r="B48" s="136" t="s">
        <v>38</v>
      </c>
      <c r="C48" s="93">
        <v>145</v>
      </c>
      <c r="D48" s="137">
        <v>1</v>
      </c>
      <c r="E48" s="138">
        <v>0</v>
      </c>
      <c r="F48" s="101">
        <f t="shared" ref="F48:F64" si="4">C48*D48*E48</f>
        <v>0</v>
      </c>
      <c r="G48" s="94" t="s">
        <v>39</v>
      </c>
    </row>
    <row r="49" spans="1:7">
      <c r="A49" s="97" t="s">
        <v>152</v>
      </c>
      <c r="B49" s="105" t="s">
        <v>150</v>
      </c>
      <c r="C49" s="109">
        <v>3</v>
      </c>
      <c r="D49" s="110" t="s">
        <v>23</v>
      </c>
      <c r="E49" s="104">
        <v>325</v>
      </c>
      <c r="F49" s="104">
        <f t="shared" si="4"/>
        <v>975</v>
      </c>
      <c r="G49" s="96"/>
    </row>
    <row r="50" spans="1:7">
      <c r="A50" s="97" t="s">
        <v>153</v>
      </c>
      <c r="B50" s="105" t="s">
        <v>151</v>
      </c>
      <c r="C50" s="109">
        <v>3</v>
      </c>
      <c r="D50" s="110" t="s">
        <v>23</v>
      </c>
      <c r="E50" s="104">
        <v>320</v>
      </c>
      <c r="F50" s="104">
        <f t="shared" si="4"/>
        <v>960</v>
      </c>
      <c r="G50" s="96"/>
    </row>
    <row r="51" spans="1:7">
      <c r="A51" s="206" t="s">
        <v>157</v>
      </c>
      <c r="B51" s="136" t="s">
        <v>155</v>
      </c>
      <c r="C51" s="93">
        <v>145</v>
      </c>
      <c r="D51" s="189">
        <v>0</v>
      </c>
      <c r="E51" s="190">
        <v>110</v>
      </c>
      <c r="F51" s="180">
        <f t="shared" si="4"/>
        <v>0</v>
      </c>
      <c r="G51" s="94" t="s">
        <v>154</v>
      </c>
    </row>
    <row r="52" spans="1:7">
      <c r="A52" s="208"/>
      <c r="B52" s="136" t="s">
        <v>156</v>
      </c>
      <c r="C52" s="93">
        <v>145</v>
      </c>
      <c r="D52" s="137">
        <v>1</v>
      </c>
      <c r="E52" s="138">
        <v>41</v>
      </c>
      <c r="F52" s="101">
        <f t="shared" si="4"/>
        <v>5945</v>
      </c>
      <c r="G52" s="94" t="s">
        <v>154</v>
      </c>
    </row>
    <row r="53" spans="1:7" ht="43.2">
      <c r="A53" s="97" t="s">
        <v>158</v>
      </c>
      <c r="B53" s="105" t="s">
        <v>159</v>
      </c>
      <c r="C53" s="109">
        <v>145</v>
      </c>
      <c r="D53" s="110" t="s">
        <v>23</v>
      </c>
      <c r="E53" s="104">
        <v>175</v>
      </c>
      <c r="F53" s="104">
        <f t="shared" si="4"/>
        <v>25375</v>
      </c>
      <c r="G53" s="96"/>
    </row>
    <row r="54" spans="1:7" ht="28.8">
      <c r="A54" s="97" t="s">
        <v>183</v>
      </c>
      <c r="B54" s="105" t="s">
        <v>160</v>
      </c>
      <c r="C54" s="109">
        <v>31</v>
      </c>
      <c r="D54" s="110" t="s">
        <v>23</v>
      </c>
      <c r="E54" s="104">
        <v>400</v>
      </c>
      <c r="F54" s="104">
        <f t="shared" si="4"/>
        <v>12400</v>
      </c>
      <c r="G54" s="96" t="s">
        <v>161</v>
      </c>
    </row>
    <row r="55" spans="1:7" ht="28.8">
      <c r="A55" s="97"/>
      <c r="B55" s="105" t="s">
        <v>162</v>
      </c>
      <c r="C55" s="109">
        <v>145</v>
      </c>
      <c r="D55" s="110" t="s">
        <v>23</v>
      </c>
      <c r="E55" s="104">
        <v>0</v>
      </c>
      <c r="F55" s="104">
        <f t="shared" si="4"/>
        <v>0</v>
      </c>
      <c r="G55" s="96" t="s">
        <v>163</v>
      </c>
    </row>
    <row r="56" spans="1:7">
      <c r="A56" s="97" t="s">
        <v>182</v>
      </c>
      <c r="B56" s="105" t="s">
        <v>164</v>
      </c>
      <c r="C56" s="109">
        <v>1</v>
      </c>
      <c r="D56" s="110" t="s">
        <v>23</v>
      </c>
      <c r="E56" s="104">
        <v>5000</v>
      </c>
      <c r="F56" s="104">
        <f t="shared" si="4"/>
        <v>5000</v>
      </c>
      <c r="G56" s="96"/>
    </row>
    <row r="57" spans="1:7" ht="28.8">
      <c r="A57" s="97"/>
      <c r="B57" s="105" t="s">
        <v>165</v>
      </c>
      <c r="C57" s="109">
        <v>145</v>
      </c>
      <c r="D57" s="110" t="s">
        <v>23</v>
      </c>
      <c r="E57" s="104">
        <v>21</v>
      </c>
      <c r="F57" s="104">
        <f t="shared" si="4"/>
        <v>3045</v>
      </c>
      <c r="G57" s="96"/>
    </row>
    <row r="58" spans="1:7">
      <c r="A58" s="97"/>
      <c r="B58" s="105" t="s">
        <v>166</v>
      </c>
      <c r="C58" s="109">
        <v>1</v>
      </c>
      <c r="D58" s="110" t="s">
        <v>23</v>
      </c>
      <c r="E58" s="104">
        <v>0</v>
      </c>
      <c r="F58" s="104">
        <f t="shared" si="4"/>
        <v>0</v>
      </c>
      <c r="G58" s="96" t="s">
        <v>167</v>
      </c>
    </row>
    <row r="59" spans="1:7">
      <c r="A59" s="97"/>
      <c r="B59" s="105" t="s">
        <v>168</v>
      </c>
      <c r="C59" s="109">
        <v>6</v>
      </c>
      <c r="D59" s="110" t="s">
        <v>23</v>
      </c>
      <c r="E59" s="104">
        <v>200</v>
      </c>
      <c r="F59" s="104">
        <f t="shared" si="4"/>
        <v>1200</v>
      </c>
      <c r="G59" s="96"/>
    </row>
    <row r="60" spans="1:7">
      <c r="A60" s="97"/>
      <c r="B60" s="105" t="s">
        <v>169</v>
      </c>
      <c r="C60" s="109">
        <v>1</v>
      </c>
      <c r="D60" s="110" t="s">
        <v>23</v>
      </c>
      <c r="E60" s="104">
        <v>0</v>
      </c>
      <c r="F60" s="104">
        <f t="shared" si="4"/>
        <v>0</v>
      </c>
      <c r="G60" s="96" t="s">
        <v>167</v>
      </c>
    </row>
    <row r="61" spans="1:7" ht="28.8">
      <c r="A61" s="97"/>
      <c r="B61" s="105" t="s">
        <v>170</v>
      </c>
      <c r="C61" s="109">
        <v>1</v>
      </c>
      <c r="D61" s="110" t="s">
        <v>23</v>
      </c>
      <c r="E61" s="104">
        <v>16330</v>
      </c>
      <c r="F61" s="104">
        <f t="shared" si="4"/>
        <v>16330</v>
      </c>
      <c r="G61" s="96"/>
    </row>
    <row r="62" spans="1:7">
      <c r="A62" s="97"/>
      <c r="B62" s="105" t="s">
        <v>171</v>
      </c>
      <c r="C62" s="109">
        <v>145</v>
      </c>
      <c r="D62" s="110" t="s">
        <v>23</v>
      </c>
      <c r="E62" s="104">
        <v>165</v>
      </c>
      <c r="F62" s="104">
        <f t="shared" si="4"/>
        <v>23925</v>
      </c>
      <c r="G62" s="96"/>
    </row>
    <row r="63" spans="1:7" ht="28.8">
      <c r="A63" s="97"/>
      <c r="B63" s="105" t="s">
        <v>172</v>
      </c>
      <c r="C63" s="109">
        <v>145</v>
      </c>
      <c r="D63" s="110" t="s">
        <v>23</v>
      </c>
      <c r="E63" s="104">
        <v>82</v>
      </c>
      <c r="F63" s="104">
        <f t="shared" si="4"/>
        <v>11890</v>
      </c>
      <c r="G63" s="96"/>
    </row>
    <row r="64" spans="1:7">
      <c r="A64" s="97"/>
      <c r="B64" s="179" t="s">
        <v>122</v>
      </c>
      <c r="C64" s="184">
        <v>1</v>
      </c>
      <c r="D64" s="185" t="s">
        <v>23</v>
      </c>
      <c r="E64" s="186">
        <v>900</v>
      </c>
      <c r="F64" s="101">
        <f t="shared" si="4"/>
        <v>900</v>
      </c>
      <c r="G64" s="181"/>
    </row>
    <row r="65" spans="1:7">
      <c r="A65" s="97"/>
      <c r="B65" s="105" t="s">
        <v>173</v>
      </c>
      <c r="C65" s="109">
        <v>1</v>
      </c>
      <c r="D65" s="110" t="s">
        <v>23</v>
      </c>
      <c r="E65" s="104">
        <v>0</v>
      </c>
      <c r="F65" s="104">
        <f>C65*D65*E65</f>
        <v>0</v>
      </c>
      <c r="G65" s="96" t="s">
        <v>167</v>
      </c>
    </row>
    <row r="66" spans="1:7">
      <c r="A66" s="97"/>
      <c r="B66" s="105" t="s">
        <v>174</v>
      </c>
      <c r="C66" s="109">
        <v>1</v>
      </c>
      <c r="D66" s="110" t="s">
        <v>23</v>
      </c>
      <c r="E66" s="104">
        <v>7671</v>
      </c>
      <c r="F66" s="104">
        <f>C66*D66*E66</f>
        <v>7671</v>
      </c>
      <c r="G66" s="96" t="s">
        <v>175</v>
      </c>
    </row>
    <row r="67" spans="1:7">
      <c r="A67" s="97"/>
      <c r="B67" s="179" t="s">
        <v>176</v>
      </c>
      <c r="C67" s="184">
        <v>1</v>
      </c>
      <c r="D67" s="185" t="s">
        <v>23</v>
      </c>
      <c r="E67" s="186">
        <v>550</v>
      </c>
      <c r="F67" s="101">
        <f t="shared" ref="F67" si="5">C67*D67*E67</f>
        <v>550</v>
      </c>
      <c r="G67" s="181" t="s">
        <v>177</v>
      </c>
    </row>
    <row r="68" spans="1:7" ht="28.8">
      <c r="A68" s="97"/>
      <c r="B68" s="105" t="s">
        <v>178</v>
      </c>
      <c r="C68" s="109">
        <v>1</v>
      </c>
      <c r="D68" s="110" t="s">
        <v>23</v>
      </c>
      <c r="E68" s="104">
        <v>1200</v>
      </c>
      <c r="F68" s="104">
        <f>C68*D68*E68</f>
        <v>1200</v>
      </c>
      <c r="G68" s="96"/>
    </row>
    <row r="69" spans="1:7">
      <c r="A69" s="97"/>
      <c r="B69" s="105" t="s">
        <v>179</v>
      </c>
      <c r="C69" s="109">
        <v>2</v>
      </c>
      <c r="D69" s="110" t="s">
        <v>23</v>
      </c>
      <c r="E69" s="104">
        <v>350</v>
      </c>
      <c r="F69" s="104">
        <f>C69*D69*E69</f>
        <v>700</v>
      </c>
      <c r="G69" s="96"/>
    </row>
    <row r="70" spans="1:7">
      <c r="A70" s="97"/>
      <c r="B70" s="179" t="s">
        <v>180</v>
      </c>
      <c r="C70" s="184">
        <v>1</v>
      </c>
      <c r="D70" s="185" t="s">
        <v>23</v>
      </c>
      <c r="E70" s="186">
        <v>1800</v>
      </c>
      <c r="F70" s="101">
        <f t="shared" ref="F70:F71" si="6">C70*D70*E70</f>
        <v>1800</v>
      </c>
      <c r="G70" s="181" t="s">
        <v>181</v>
      </c>
    </row>
    <row r="71" spans="1:7">
      <c r="A71" s="97">
        <v>0.97916666666666663</v>
      </c>
      <c r="B71" s="179" t="s">
        <v>184</v>
      </c>
      <c r="C71" s="184">
        <v>145</v>
      </c>
      <c r="D71" s="185" t="s">
        <v>23</v>
      </c>
      <c r="E71" s="186">
        <v>0</v>
      </c>
      <c r="F71" s="101">
        <f t="shared" si="6"/>
        <v>0</v>
      </c>
      <c r="G71" s="181" t="s">
        <v>185</v>
      </c>
    </row>
    <row r="72" spans="1:7">
      <c r="A72" s="191" t="s">
        <v>216</v>
      </c>
      <c r="B72" s="164"/>
      <c r="C72" s="164"/>
      <c r="D72" s="164"/>
      <c r="E72" s="164"/>
      <c r="F72" s="29">
        <f>SUM(F48:F71)</f>
        <v>119866</v>
      </c>
      <c r="G72" s="164"/>
    </row>
    <row r="73" spans="1:7">
      <c r="A73" s="97"/>
      <c r="B73" s="136" t="s">
        <v>38</v>
      </c>
      <c r="C73" s="93">
        <v>145</v>
      </c>
      <c r="D73" s="137">
        <v>1</v>
      </c>
      <c r="E73" s="138">
        <v>0</v>
      </c>
      <c r="F73" s="101">
        <f t="shared" ref="F73:F81" si="7">C73*D73*E73</f>
        <v>0</v>
      </c>
      <c r="G73" s="94" t="s">
        <v>39</v>
      </c>
    </row>
    <row r="74" spans="1:7">
      <c r="A74" s="97" t="s">
        <v>152</v>
      </c>
      <c r="B74" s="105" t="s">
        <v>150</v>
      </c>
      <c r="C74" s="109">
        <v>3</v>
      </c>
      <c r="D74" s="110" t="s">
        <v>23</v>
      </c>
      <c r="E74" s="104">
        <v>325</v>
      </c>
      <c r="F74" s="104">
        <f t="shared" si="7"/>
        <v>975</v>
      </c>
      <c r="G74" s="96"/>
    </row>
    <row r="75" spans="1:7">
      <c r="A75" s="97" t="s">
        <v>153</v>
      </c>
      <c r="B75" s="105" t="s">
        <v>196</v>
      </c>
      <c r="C75" s="109">
        <v>3</v>
      </c>
      <c r="D75" s="110" t="s">
        <v>23</v>
      </c>
      <c r="E75" s="104">
        <v>420</v>
      </c>
      <c r="F75" s="104">
        <f t="shared" si="7"/>
        <v>1260</v>
      </c>
      <c r="G75" s="96"/>
    </row>
    <row r="76" spans="1:7">
      <c r="A76" s="97" t="s">
        <v>190</v>
      </c>
      <c r="B76" s="136" t="s">
        <v>188</v>
      </c>
      <c r="C76" s="93">
        <v>145</v>
      </c>
      <c r="D76" s="137">
        <v>1</v>
      </c>
      <c r="E76" s="138">
        <v>35</v>
      </c>
      <c r="F76" s="101">
        <f t="shared" si="7"/>
        <v>5075</v>
      </c>
      <c r="G76" s="94" t="s">
        <v>189</v>
      </c>
    </row>
    <row r="77" spans="1:7" ht="57.6">
      <c r="A77" s="97" t="s">
        <v>191</v>
      </c>
      <c r="B77" s="105" t="s">
        <v>192</v>
      </c>
      <c r="C77" s="109">
        <v>145</v>
      </c>
      <c r="D77" s="110" t="s">
        <v>23</v>
      </c>
      <c r="E77" s="104">
        <v>235</v>
      </c>
      <c r="F77" s="104">
        <f t="shared" si="7"/>
        <v>34075</v>
      </c>
      <c r="G77" s="96"/>
    </row>
    <row r="78" spans="1:7">
      <c r="A78" s="97">
        <v>0.6875</v>
      </c>
      <c r="B78" s="105" t="s">
        <v>193</v>
      </c>
      <c r="C78" s="109">
        <v>145</v>
      </c>
      <c r="D78" s="110" t="s">
        <v>23</v>
      </c>
      <c r="E78" s="104">
        <v>0</v>
      </c>
      <c r="F78" s="104">
        <f t="shared" si="7"/>
        <v>0</v>
      </c>
      <c r="G78" s="96"/>
    </row>
    <row r="79" spans="1:7">
      <c r="A79" s="97">
        <v>0.80208333333333337</v>
      </c>
      <c r="B79" s="105" t="s">
        <v>194</v>
      </c>
      <c r="C79" s="109">
        <v>145</v>
      </c>
      <c r="D79" s="110" t="s">
        <v>23</v>
      </c>
      <c r="E79" s="104">
        <v>0</v>
      </c>
      <c r="F79" s="104">
        <f t="shared" si="7"/>
        <v>0</v>
      </c>
      <c r="G79" s="96" t="s">
        <v>195</v>
      </c>
    </row>
    <row r="80" spans="1:7" ht="72">
      <c r="A80" s="97" t="s">
        <v>197</v>
      </c>
      <c r="B80" s="105" t="s">
        <v>198</v>
      </c>
      <c r="C80" s="109">
        <v>145</v>
      </c>
      <c r="D80" s="110" t="s">
        <v>23</v>
      </c>
      <c r="E80" s="104">
        <v>210</v>
      </c>
      <c r="F80" s="104">
        <f t="shared" si="7"/>
        <v>30450</v>
      </c>
      <c r="G80" s="96"/>
    </row>
    <row r="81" spans="1:7">
      <c r="A81" s="97">
        <v>0.97916666666666663</v>
      </c>
      <c r="B81" s="105" t="s">
        <v>199</v>
      </c>
      <c r="C81" s="109">
        <v>145</v>
      </c>
      <c r="D81" s="110" t="s">
        <v>23</v>
      </c>
      <c r="E81" s="104">
        <v>0</v>
      </c>
      <c r="F81" s="104">
        <f t="shared" si="7"/>
        <v>0</v>
      </c>
      <c r="G81" s="96"/>
    </row>
    <row r="82" spans="1:7">
      <c r="A82" s="164" t="s">
        <v>219</v>
      </c>
      <c r="B82" s="147"/>
      <c r="C82" s="148"/>
      <c r="D82" s="165"/>
      <c r="E82" s="163"/>
      <c r="F82" s="161">
        <f>SUM(F73:F81)</f>
        <v>71835</v>
      </c>
      <c r="G82" s="160" t="s">
        <v>116</v>
      </c>
    </row>
    <row r="83" spans="1:7">
      <c r="A83" s="97"/>
      <c r="B83" s="136" t="s">
        <v>38</v>
      </c>
      <c r="C83" s="93">
        <v>145</v>
      </c>
      <c r="D83" s="137">
        <v>1</v>
      </c>
      <c r="E83" s="138">
        <v>0</v>
      </c>
      <c r="F83" s="101">
        <f t="shared" ref="F83" si="8">C83*D83*E83</f>
        <v>0</v>
      </c>
      <c r="G83" s="94" t="s">
        <v>39</v>
      </c>
    </row>
    <row r="84" spans="1:7">
      <c r="A84" s="145">
        <v>0.5</v>
      </c>
      <c r="B84" s="176" t="s">
        <v>201</v>
      </c>
      <c r="C84" s="177">
        <v>145</v>
      </c>
      <c r="D84" s="192" t="s">
        <v>23</v>
      </c>
      <c r="E84" s="170">
        <v>0</v>
      </c>
      <c r="F84" s="170">
        <f>C84*D84*E84</f>
        <v>0</v>
      </c>
      <c r="G84" s="175" t="s">
        <v>111</v>
      </c>
    </row>
    <row r="85" spans="1:7">
      <c r="A85" s="97"/>
      <c r="B85" s="105" t="s">
        <v>208</v>
      </c>
      <c r="C85" s="109">
        <v>3</v>
      </c>
      <c r="D85" s="152" t="s">
        <v>23</v>
      </c>
      <c r="E85" s="104">
        <v>235</v>
      </c>
      <c r="F85" s="104">
        <f t="shared" ref="F85" si="9">C85*D85*E85</f>
        <v>705</v>
      </c>
      <c r="G85" s="96" t="s">
        <v>101</v>
      </c>
    </row>
    <row r="86" spans="1:7" ht="28.8">
      <c r="A86" s="97"/>
      <c r="B86" s="95" t="s">
        <v>202</v>
      </c>
      <c r="C86" s="102">
        <v>3</v>
      </c>
      <c r="D86" s="183" t="s">
        <v>78</v>
      </c>
      <c r="E86" s="107">
        <v>120</v>
      </c>
      <c r="F86" s="107">
        <f>C86*D86*E86</f>
        <v>0</v>
      </c>
      <c r="G86" s="96" t="s">
        <v>99</v>
      </c>
    </row>
    <row r="87" spans="1:7">
      <c r="A87" s="97"/>
      <c r="B87" s="105" t="s">
        <v>207</v>
      </c>
      <c r="C87" s="109">
        <v>1</v>
      </c>
      <c r="D87" s="106" t="s">
        <v>78</v>
      </c>
      <c r="E87" s="107">
        <v>200</v>
      </c>
      <c r="F87" s="107">
        <f t="shared" ref="F87:F91" si="10">C87*D87*E87</f>
        <v>0</v>
      </c>
      <c r="G87" s="96" t="s">
        <v>101</v>
      </c>
    </row>
    <row r="88" spans="1:7" ht="28.8">
      <c r="A88" s="97"/>
      <c r="B88" s="105" t="s">
        <v>206</v>
      </c>
      <c r="C88" s="109">
        <v>1</v>
      </c>
      <c r="D88" s="106" t="s">
        <v>78</v>
      </c>
      <c r="E88" s="107">
        <v>110</v>
      </c>
      <c r="F88" s="107">
        <f t="shared" si="10"/>
        <v>0</v>
      </c>
      <c r="G88" s="96" t="s">
        <v>101</v>
      </c>
    </row>
    <row r="89" spans="1:7" ht="28.8">
      <c r="A89" s="97"/>
      <c r="B89" s="105" t="s">
        <v>205</v>
      </c>
      <c r="C89" s="109">
        <v>1</v>
      </c>
      <c r="D89" s="106" t="s">
        <v>78</v>
      </c>
      <c r="E89" s="107">
        <v>320</v>
      </c>
      <c r="F89" s="107">
        <f t="shared" si="10"/>
        <v>0</v>
      </c>
      <c r="G89" s="96" t="s">
        <v>101</v>
      </c>
    </row>
    <row r="90" spans="1:7" ht="28.8">
      <c r="A90" s="97"/>
      <c r="B90" s="105" t="s">
        <v>204</v>
      </c>
      <c r="C90" s="109">
        <v>1</v>
      </c>
      <c r="D90" s="106" t="s">
        <v>78</v>
      </c>
      <c r="E90" s="107">
        <v>65</v>
      </c>
      <c r="F90" s="107">
        <f t="shared" si="10"/>
        <v>0</v>
      </c>
      <c r="G90" s="96" t="s">
        <v>101</v>
      </c>
    </row>
    <row r="91" spans="1:7" ht="28.8">
      <c r="A91" s="97"/>
      <c r="B91" s="105" t="s">
        <v>203</v>
      </c>
      <c r="C91" s="109">
        <v>1</v>
      </c>
      <c r="D91" s="106" t="s">
        <v>78</v>
      </c>
      <c r="E91" s="107">
        <v>165</v>
      </c>
      <c r="F91" s="107">
        <f t="shared" si="10"/>
        <v>0</v>
      </c>
      <c r="G91" s="96" t="s">
        <v>101</v>
      </c>
    </row>
    <row r="92" spans="1:7" ht="15" thickBot="1">
      <c r="A92" s="130"/>
      <c r="B92" s="147"/>
      <c r="C92" s="148"/>
      <c r="D92" s="149"/>
      <c r="E92" s="150"/>
      <c r="F92" s="29">
        <f>SUM(F83:F91)</f>
        <v>705</v>
      </c>
      <c r="G92" s="193"/>
    </row>
    <row r="93" spans="1:7" ht="15" thickBot="1">
      <c r="A93" s="139"/>
      <c r="B93" s="122" t="s">
        <v>86</v>
      </c>
      <c r="C93" s="123"/>
      <c r="D93" s="124"/>
      <c r="E93" s="125"/>
      <c r="F93" s="140">
        <f>F92+F72+F47+F28+F14</f>
        <v>702091</v>
      </c>
      <c r="G93" s="141"/>
    </row>
    <row r="94" spans="1:7" ht="15" thickBot="1">
      <c r="A94" s="139"/>
      <c r="B94" s="122" t="s">
        <v>87</v>
      </c>
      <c r="C94" s="123"/>
      <c r="D94" s="124"/>
      <c r="E94" s="125"/>
      <c r="F94" s="140">
        <f>F93</f>
        <v>702091</v>
      </c>
      <c r="G94" s="141"/>
    </row>
    <row r="95" spans="1:7" ht="15" thickBot="1">
      <c r="A95" s="139"/>
      <c r="B95" s="122" t="s">
        <v>118</v>
      </c>
      <c r="C95" s="123"/>
      <c r="D95" s="124"/>
      <c r="E95" s="125"/>
      <c r="F95" s="140">
        <f>F94/145</f>
        <v>4842.0068965517239</v>
      </c>
      <c r="G95" s="141"/>
    </row>
    <row r="98" spans="1:7">
      <c r="A98" s="58" t="s">
        <v>89</v>
      </c>
      <c r="B98" s="6"/>
      <c r="C98" s="6"/>
      <c r="D98" s="6"/>
      <c r="E98" s="6"/>
      <c r="F98" s="6"/>
      <c r="G98" s="6"/>
    </row>
    <row r="99" spans="1:7">
      <c r="A99" s="200" t="s">
        <v>90</v>
      </c>
      <c r="B99" s="200"/>
      <c r="C99" s="200"/>
      <c r="D99" s="200"/>
      <c r="E99" s="200"/>
      <c r="F99" s="5"/>
    </row>
    <row r="100" spans="1:7">
      <c r="A100" s="5" t="s">
        <v>91</v>
      </c>
      <c r="B100" s="5"/>
      <c r="C100" s="5"/>
      <c r="D100" s="5"/>
      <c r="E100" s="5"/>
      <c r="F100" s="5"/>
    </row>
    <row r="101" spans="1:7">
      <c r="A101" s="2" t="s">
        <v>92</v>
      </c>
      <c r="B101" s="6"/>
      <c r="C101" s="60"/>
      <c r="D101" s="6"/>
      <c r="E101" s="6"/>
      <c r="F101" s="6"/>
    </row>
    <row r="102" spans="1:7">
      <c r="A102" s="2" t="s">
        <v>93</v>
      </c>
      <c r="B102" s="6"/>
      <c r="C102" s="60"/>
      <c r="D102" s="6"/>
      <c r="E102" s="6"/>
      <c r="F102" s="6"/>
    </row>
  </sheetData>
  <mergeCells count="9">
    <mergeCell ref="G12:G13"/>
    <mergeCell ref="A51:A52"/>
    <mergeCell ref="A99:E99"/>
    <mergeCell ref="A5:C5"/>
    <mergeCell ref="A6:C6"/>
    <mergeCell ref="A8:C8"/>
    <mergeCell ref="A35:A38"/>
    <mergeCell ref="A39:A42"/>
    <mergeCell ref="A32:A3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F329228CE1545A509F1A151D6E76D" ma:contentTypeVersion="4" ma:contentTypeDescription="Create a new document." ma:contentTypeScope="" ma:versionID="b355f5964da25a823c467933ba103dda">
  <xsd:schema xmlns:xsd="http://www.w3.org/2001/XMLSchema" xmlns:xs="http://www.w3.org/2001/XMLSchema" xmlns:p="http://schemas.microsoft.com/office/2006/metadata/properties" xmlns:ns3="2b1d04cc-1695-4d01-9abb-794b4784653a" targetNamespace="http://schemas.microsoft.com/office/2006/metadata/properties" ma:root="true" ma:fieldsID="1900b59e8439f4eb96747bf6f2f3d9b8" ns3:_="">
    <xsd:import namespace="2b1d04cc-1695-4d01-9abb-794b4784653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d04cc-1695-4d01-9abb-794b4784653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8D50B2-FEAA-4571-864E-9AC655B5ACF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b1d04cc-1695-4d01-9abb-794b4784653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FDC3CE-3F59-4217-8720-D1882D4B9B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923F61-3DDF-4255-9B52-73D1C20C6FCD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7-10 DEC Atlantis The Royal  </vt:lpstr>
      <vt:lpstr>Yas Palza Hotels </vt:lpstr>
      <vt:lpstr>Conrad Etihad Towers AUH</vt:lpstr>
      <vt:lpstr>Marriott Palm Island </vt:lpstr>
      <vt:lpstr>Atlantis Palm Island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sada</dc:creator>
  <cp:keywords/>
  <dc:description/>
  <cp:lastModifiedBy>usrr</cp:lastModifiedBy>
  <cp:revision/>
  <dcterms:created xsi:type="dcterms:W3CDTF">2023-11-02T06:42:04Z</dcterms:created>
  <dcterms:modified xsi:type="dcterms:W3CDTF">2026-04-30T13:00:33Z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0x0101009CCF329228CE1545A509F1A151D6E76D</vt:lpwstr>
  </property>
</Properties>
</file>